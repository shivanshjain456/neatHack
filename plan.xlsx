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Overview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24M_Main_Model" sheetId="3" state="visible" r:id="rId3"/>
    <sheet xmlns:r="http://schemas.openxmlformats.org/officeDocument/2006/relationships" name="4Q_Scenario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%"/>
    <numFmt numFmtId="167" formatCode="$#,##0.0000"/>
    <numFmt numFmtId="168" formatCode="$#,##0.000000"/>
    <numFmt numFmtId="169" formatCode="$#,##0.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49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49" fontId="3" fillId="6" borderId="1" pivotButton="0" quotePrefix="0" xfId="0"/>
    <xf numFmtId="166" fontId="3" fillId="6" borderId="1" pivotButton="0" quotePrefix="0" xfId="0"/>
    <xf numFmtId="164" fontId="3" fillId="6" borderId="1" pivotButton="0" quotePrefix="0" xfId="0"/>
    <xf numFmtId="0" fontId="3" fillId="5" borderId="1" pivotButton="0" quotePrefix="0" xfId="0"/>
    <xf numFmtId="10" fontId="3" fillId="6" borderId="1" pivotButton="0" quotePrefix="0" xfId="0"/>
    <xf numFmtId="167" fontId="4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164" fontId="5" fillId="4" borderId="1" pivotButton="0" quotePrefix="0" xfId="0"/>
    <xf numFmtId="165" fontId="5" fillId="4" borderId="1" pivotButton="0" quotePrefix="0" xfId="0"/>
    <xf numFmtId="3" fontId="5" fillId="4" borderId="1" pivotButton="0" quotePrefix="0" xfId="0"/>
    <xf numFmtId="166" fontId="5" fillId="4" borderId="1" pivotButton="0" quotePrefix="0" xfId="0"/>
    <xf numFmtId="167" fontId="5" fillId="4" borderId="1" pivotButton="0" quotePrefix="0" xfId="0"/>
    <xf numFmtId="168" fontId="5" fillId="4" borderId="1" pivotButton="0" quotePrefix="0" xfId="0"/>
    <xf numFmtId="169" fontId="5" fillId="4" borderId="1" pivotButton="0" quotePrefix="0" xfId="0"/>
    <xf numFmtId="49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32" customWidth="1" min="3" max="3"/>
    <col width="25" customWidth="1" min="4" max="4"/>
    <col width="25" customWidth="1" min="5" max="5"/>
    <col width="44" customWidth="1" min="6" max="6"/>
  </cols>
  <sheetData>
    <row r="1">
      <c r="A1" s="1" t="inlineStr">
        <is>
          <t>VeriFix (Team HyperX) — cfo.ai Board Overview &amp; Telemetry-Linked Executive Summary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Executive KPI (Formula-Linked to 24M_Main_Model &amp; Assumptions)</t>
        </is>
      </c>
      <c r="B3" s="2" t="inlineStr">
        <is>
          <t>Month 1 (Launch)</t>
        </is>
      </c>
      <c r="C3" s="2" t="inlineStr">
        <is>
          <t>Month 6</t>
        </is>
      </c>
      <c r="D3" s="2" t="inlineStr">
        <is>
          <t>Month 12 (Y1 Exit)</t>
        </is>
      </c>
      <c r="E3" s="2" t="inlineStr">
        <is>
          <t>Month 24 (Y2 Exit)</t>
        </is>
      </c>
      <c r="F3" s="2" t="inlineStr">
        <is>
          <t>Architectural &amp; Telemetry Driver</t>
        </is>
      </c>
    </row>
    <row r="4">
      <c r="A4" s="3" t="inlineStr">
        <is>
          <t>Active Paying Customers</t>
        </is>
      </c>
      <c r="B4" s="4">
        <f>'24M_Main_Model'!B6</f>
        <v/>
      </c>
      <c r="C4" s="4">
        <f>'24M_Main_Model'!G6</f>
        <v/>
      </c>
      <c r="D4" s="4">
        <f>'24M_Main_Model'!M6</f>
        <v/>
      </c>
      <c r="E4" s="4">
        <f>'24M_Main_Model'!Y6</f>
        <v/>
      </c>
      <c r="F4" s="3" t="inlineStr">
        <is>
          <t>Solo Pro ($49) + Team ($249) + Enterprise ($999)</t>
        </is>
      </c>
    </row>
    <row r="5">
      <c r="A5" s="3" t="inlineStr">
        <is>
          <t>Monthly Verified Patch Runs</t>
        </is>
      </c>
      <c r="B5" s="4">
        <f>'24M_Main_Model'!B7</f>
        <v/>
      </c>
      <c r="C5" s="4">
        <f>'24M_Main_Model'!G7</f>
        <v/>
      </c>
      <c r="D5" s="4">
        <f>'24M_Main_Model'!M7</f>
        <v/>
      </c>
      <c r="E5" s="4">
        <f>'24M_Main_Model'!Y7</f>
        <v/>
      </c>
      <c r="F5" s="3" t="inlineStr">
        <is>
          <t>Each run verified by pytest + AWS Lambda us-east-1</t>
        </is>
      </c>
    </row>
    <row r="6">
      <c r="A6" s="3" t="inlineStr">
        <is>
          <t>Monthly Recurring + Usage Revenue</t>
        </is>
      </c>
      <c r="B6" s="5">
        <f>'24M_Main_Model'!B10</f>
        <v/>
      </c>
      <c r="C6" s="5">
        <f>'24M_Main_Model'!G10</f>
        <v/>
      </c>
      <c r="D6" s="5">
        <f>'24M_Main_Model'!M10</f>
        <v/>
      </c>
      <c r="E6" s="5">
        <f>'24M_Main_Model'!Y10</f>
        <v/>
      </c>
      <c r="F6" s="3" t="inlineStr">
        <is>
          <t>Billed globally via Dodo Payments MoR</t>
        </is>
      </c>
    </row>
    <row r="7">
      <c r="A7" s="3" t="inlineStr">
        <is>
          <t>Annualized Run-Rate Revenue (ARR)</t>
        </is>
      </c>
      <c r="B7" s="5">
        <f>'24M_Main_Model'!B11</f>
        <v/>
      </c>
      <c r="C7" s="5">
        <f>'24M_Main_Model'!G11</f>
        <v/>
      </c>
      <c r="D7" s="5">
        <f>'24M_Main_Model'!M11</f>
        <v/>
      </c>
      <c r="E7" s="5">
        <f>'24M_Main_Model'!Y11</f>
        <v/>
      </c>
      <c r="F7" s="3" t="inlineStr">
        <is>
          <t>12x Monthly Recognized Revenue</t>
        </is>
      </c>
    </row>
    <row r="8">
      <c r="A8" s="3" t="inlineStr">
        <is>
          <t>Total COGS (v2 Graph-Guarded)</t>
        </is>
      </c>
      <c r="B8" s="5">
        <f>'24M_Main_Model'!B15</f>
        <v/>
      </c>
      <c r="C8" s="5">
        <f>'24M_Main_Model'!G15</f>
        <v/>
      </c>
      <c r="D8" s="5">
        <f>'24M_Main_Model'!M15</f>
        <v/>
      </c>
      <c r="E8" s="5">
        <f>'24M_Main_Model'!Y15</f>
        <v/>
      </c>
      <c r="F8" s="3" t="inlineStr">
        <is>
          <t>Includes LLM tokens, AWS Lambda, Dodo 3.9% MoR</t>
        </is>
      </c>
    </row>
    <row r="9">
      <c r="A9" s="3" t="inlineStr">
        <is>
          <t>Gross Profit ($)</t>
        </is>
      </c>
      <c r="B9" s="5">
        <f>'24M_Main_Model'!B16</f>
        <v/>
      </c>
      <c r="C9" s="5">
        <f>'24M_Main_Model'!G16</f>
        <v/>
      </c>
      <c r="D9" s="5">
        <f>'24M_Main_Model'!M16</f>
        <v/>
      </c>
      <c r="E9" s="5">
        <f>'24M_Main_Model'!Y16</f>
        <v/>
      </c>
      <c r="F9" s="3" t="inlineStr">
        <is>
          <t>Revenue minus direct LLM, sandbox &amp; payment COGS</t>
        </is>
      </c>
    </row>
    <row r="10">
      <c r="A10" s="6" t="inlineStr">
        <is>
          <t>Gross Margin (%)</t>
        </is>
      </c>
      <c r="B10" s="7">
        <f>'24M_Main_Model'!B17</f>
        <v/>
      </c>
      <c r="C10" s="7">
        <f>'24M_Main_Model'!G17</f>
        <v/>
      </c>
      <c r="D10" s="7">
        <f>'24M_Main_Model'!M17</f>
        <v/>
      </c>
      <c r="E10" s="7">
        <f>'24M_Main_Model'!Y17</f>
        <v/>
      </c>
      <c r="F10" s="6" t="inlineStr">
        <is>
          <t>+79.83% Enterprise COGS reduction via entire-graph</t>
        </is>
      </c>
    </row>
    <row r="11">
      <c r="A11" s="3" t="inlineStr">
        <is>
          <t>EBITDA / Net Monthly Cash Flow</t>
        </is>
      </c>
      <c r="B11" s="5">
        <f>'24M_Main_Model'!B22</f>
        <v/>
      </c>
      <c r="C11" s="5">
        <f>'24M_Main_Model'!G22</f>
        <v/>
      </c>
      <c r="D11" s="5">
        <f>'24M_Main_Model'!M22</f>
        <v/>
      </c>
      <c r="E11" s="5">
        <f>'24M_Main_Model'!Y22</f>
        <v/>
      </c>
      <c r="F11" s="3" t="inlineStr">
        <is>
          <t>Crosses cash-flow break-even in Month 4</t>
        </is>
      </c>
    </row>
    <row r="12">
      <c r="A12" s="6" t="inlineStr">
        <is>
          <t>Ending Cash Balance ($)</t>
        </is>
      </c>
      <c r="B12" s="8">
        <f>'24M_Main_Model'!B23</f>
        <v/>
      </c>
      <c r="C12" s="8">
        <f>'24M_Main_Model'!G23</f>
        <v/>
      </c>
      <c r="D12" s="8">
        <f>'24M_Main_Model'!M23</f>
        <v/>
      </c>
      <c r="E12" s="8">
        <f>'24M_Main_Model'!Y23</f>
        <v/>
      </c>
      <c r="F12" s="6" t="inlineStr">
        <is>
          <t>Starts with $150,000 reserve; never drops below $112k</t>
        </is>
      </c>
    </row>
    <row r="13">
      <c r="A13" s="6" t="inlineStr">
        <is>
          <t>Monthly COGS Saved by entire-graph</t>
        </is>
      </c>
      <c r="B13" s="8">
        <f>'24M_Main_Model'!B25</f>
        <v/>
      </c>
      <c r="C13" s="8">
        <f>'24M_Main_Model'!G25</f>
        <v/>
      </c>
      <c r="D13" s="8">
        <f>'24M_Main_Model'!M25</f>
        <v/>
      </c>
      <c r="E13" s="8">
        <f>'24M_Main_Model'!Y25</f>
        <v/>
      </c>
      <c r="F13" s="6" t="inlineStr">
        <is>
          <t>Counterfactual v1 COGS minus v2 Graph-Guarded COGS</t>
        </is>
      </c>
    </row>
    <row r="14"/>
    <row r="15"/>
    <row r="16">
      <c r="A16" s="2" t="inlineStr">
        <is>
          <t>Measured Neatlogs Telemetry Impact on Unit Economics (Experiment exp_0e3f5ca743)</t>
        </is>
      </c>
      <c r="B16" s="2" t="n"/>
      <c r="C16" s="2" t="n"/>
      <c r="D16" s="2" t="n"/>
      <c r="E16" s="2" t="n"/>
      <c r="F16" s="2" t="n"/>
    </row>
    <row r="17">
      <c r="A17" s="9" t="inlineStr">
        <is>
          <t>Metric</t>
        </is>
      </c>
      <c r="B17" s="9" t="inlineStr">
        <is>
          <t>v1 Baseline (Before Fix)</t>
        </is>
      </c>
      <c r="C17" s="9" t="inlineStr">
        <is>
          <t>v2 Graph-Guarded (After Fix)</t>
        </is>
      </c>
      <c r="D17" s="9" t="inlineStr">
        <is>
          <t>Formula Delta</t>
        </is>
      </c>
      <c r="E17" s="9" t="inlineStr">
        <is>
          <t>% Improvement</t>
        </is>
      </c>
      <c r="F17" s="9" t="inlineStr">
        <is>
          <t>Partner Tool Attribution</t>
        </is>
      </c>
    </row>
    <row r="18">
      <c r="A18" s="4" t="inlineStr">
        <is>
          <t>Prompt Tokens per Run</t>
        </is>
      </c>
      <c r="B18" s="4">
        <f>Assumptions!C13</f>
        <v/>
      </c>
      <c r="C18" s="4">
        <f>Assumptions!C15</f>
        <v/>
      </c>
      <c r="D18" s="4">
        <f>C18-B18</f>
        <v/>
      </c>
      <c r="E18" s="10">
        <f>(C18-B18)/B18</f>
        <v/>
      </c>
      <c r="F18" s="4" t="inlineStr">
        <is>
          <t>entire-graph search/impact/neighbors</t>
        </is>
      </c>
    </row>
    <row r="19">
      <c r="A19" s="4" t="inlineStr">
        <is>
          <t>Completion Tokens per Run</t>
        </is>
      </c>
      <c r="B19" s="4">
        <f>Assumptions!C14</f>
        <v/>
      </c>
      <c r="C19" s="4">
        <f>Assumptions!C16</f>
        <v/>
      </c>
      <c r="D19" s="4">
        <f>C19-B19</f>
        <v/>
      </c>
      <c r="E19" s="10">
        <f>(C19-B19)/B19</f>
        <v/>
      </c>
      <c r="F19" s="4" t="inlineStr">
        <is>
          <t>Bounded caller contract synthesis</t>
        </is>
      </c>
    </row>
    <row r="20">
      <c r="A20" s="4" t="inlineStr">
        <is>
          <t>Total Tokens per Run</t>
        </is>
      </c>
      <c r="B20" s="4">
        <f>B18+B19</f>
        <v/>
      </c>
      <c r="C20" s="4">
        <f>C18+C19</f>
        <v/>
      </c>
      <c r="D20" s="4">
        <f>C20-B20</f>
        <v/>
      </c>
      <c r="E20" s="10">
        <f>(C20-B20)/B20</f>
        <v/>
      </c>
      <c r="F20" s="4" t="inlineStr">
        <is>
          <t>Neatlogs RETRIEVER + AGENT span audit</t>
        </is>
      </c>
    </row>
    <row r="21">
      <c r="A21" s="11" t="inlineStr">
        <is>
          <t>Modeled Enterprise COGS / Run</t>
        </is>
      </c>
      <c r="B21" s="11">
        <f>Assumptions!C17</f>
        <v/>
      </c>
      <c r="C21" s="11">
        <f>Assumptions!C18</f>
        <v/>
      </c>
      <c r="D21" s="11">
        <f>C21-B21</f>
        <v/>
      </c>
      <c r="E21" s="10">
        <f>(C21-B21)/B21</f>
        <v/>
      </c>
      <c r="F21" s="11" t="inlineStr">
        <is>
          <t>cfo.ai Unit Economics Engine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3" customWidth="1" min="3" max="3"/>
    <col width="17" customWidth="1" min="4" max="4"/>
    <col width="44" customWidth="1" min="5" max="5"/>
  </cols>
  <sheetData>
    <row r="1">
      <c r="A1" s="1" t="inlineStr">
        <is>
          <t>VeriFix (Team HyperX) — cfo.ai Deterministic Model Assumptions &amp; Telemetry Drivers</t>
        </is>
      </c>
      <c r="B1" s="1" t="n"/>
      <c r="C1" s="1" t="n"/>
      <c r="D1" s="1" t="n"/>
      <c r="E1" s="1" t="n"/>
    </row>
    <row r="2">
      <c r="A2" s="2" t="inlineStr">
        <is>
          <t>Parameter Code</t>
        </is>
      </c>
      <c r="B2" s="2" t="inlineStr">
        <is>
          <t>Driver / Assumption Name</t>
        </is>
      </c>
      <c r="C2" s="2" t="inlineStr">
        <is>
          <t>Value</t>
        </is>
      </c>
      <c r="D2" s="2" t="inlineStr">
        <is>
          <t>Unit / Format</t>
        </is>
      </c>
      <c r="E2" s="2" t="inlineStr">
        <is>
          <t>Telemetry / Market Grounding Source</t>
        </is>
      </c>
    </row>
    <row r="3">
      <c r="A3" s="12" t="inlineStr">
        <is>
          <t>START_CASH</t>
        </is>
      </c>
      <c r="B3" s="13" t="inlineStr">
        <is>
          <t>Starting Seed / Founder Treasury Cash</t>
        </is>
      </c>
      <c r="C3" s="14" t="n">
        <v>150000</v>
      </c>
      <c r="D3" s="13" t="inlineStr">
        <is>
          <t>$#,##0</t>
        </is>
      </c>
      <c r="E3" s="13" t="inlineStr">
        <is>
          <t>Initial pre-seed / founder capital reserve</t>
        </is>
      </c>
    </row>
    <row r="4">
      <c r="A4" s="12" t="inlineStr">
        <is>
          <t>PRICE_SOLO</t>
        </is>
      </c>
      <c r="B4" s="13" t="inlineStr">
        <is>
          <t>Solo Pro Tier Price (Monthly)</t>
        </is>
      </c>
      <c r="C4" s="15" t="n">
        <v>49</v>
      </c>
      <c r="D4" s="13" t="inlineStr">
        <is>
          <t>$#,##0.00</t>
        </is>
      </c>
      <c r="E4" s="13" t="inlineStr">
        <is>
          <t>Includes 100 verified patches/mo; $0.60 overage</t>
        </is>
      </c>
    </row>
    <row r="5">
      <c r="A5" s="12" t="inlineStr">
        <is>
          <t>PRICE_TEAM</t>
        </is>
      </c>
      <c r="B5" s="13" t="inlineStr">
        <is>
          <t>Team Guarded Tier Price (Monthly)</t>
        </is>
      </c>
      <c r="C5" s="15" t="n">
        <v>249</v>
      </c>
      <c r="D5" s="13" t="inlineStr">
        <is>
          <t>$#,##0.00</t>
        </is>
      </c>
      <c r="E5" s="13" t="inlineStr">
        <is>
          <t>Includes 600 verified patches/mo; $0.45 overage</t>
        </is>
      </c>
    </row>
    <row r="6">
      <c r="A6" s="12" t="inlineStr">
        <is>
          <t>PRICE_ENT</t>
        </is>
      </c>
      <c r="B6" s="13" t="inlineStr">
        <is>
          <t>Enterprise VPC &amp; Compliance Tier (Monthly)</t>
        </is>
      </c>
      <c r="C6" s="15" t="n">
        <v>999</v>
      </c>
      <c r="D6" s="13" t="inlineStr">
        <is>
          <t>$#,##0.00</t>
        </is>
      </c>
      <c r="E6" s="13" t="inlineStr">
        <is>
          <t>Includes 3,000 verified patches/mo; $0.35 overage</t>
        </is>
      </c>
    </row>
    <row r="7">
      <c r="A7" s="12" t="inlineStr">
        <is>
          <t>RUNS_SOLO</t>
        </is>
      </c>
      <c r="B7" s="13" t="inlineStr">
        <is>
          <t>Avg Monthly Remediation Runs per Solo Customer</t>
        </is>
      </c>
      <c r="C7" s="16" t="n">
        <v>82</v>
      </c>
      <c r="D7" s="13" t="inlineStr">
        <is>
          <t>#,##0</t>
        </is>
      </c>
      <c r="E7" s="13" t="inlineStr">
        <is>
          <t>Measured developer bug-fix cadence (~4/workday)</t>
        </is>
      </c>
    </row>
    <row r="8">
      <c r="A8" s="12" t="inlineStr">
        <is>
          <t>RUNS_TEAM</t>
        </is>
      </c>
      <c r="B8" s="13" t="inlineStr">
        <is>
          <t>Avg Monthly Remediation Runs per Team Customer</t>
        </is>
      </c>
      <c r="C8" s="16" t="n">
        <v>480</v>
      </c>
      <c r="D8" s="13" t="inlineStr">
        <is>
          <t>#,##0</t>
        </is>
      </c>
      <c r="E8" s="13" t="inlineStr">
        <is>
          <t>6-seat engineering squad active PR defect load</t>
        </is>
      </c>
    </row>
    <row r="9">
      <c r="A9" s="12" t="inlineStr">
        <is>
          <t>RUNS_ENT</t>
        </is>
      </c>
      <c r="B9" s="13" t="inlineStr">
        <is>
          <t>Avg Monthly Remediation Runs per Enterprise Customer</t>
        </is>
      </c>
      <c r="C9" s="16" t="n">
        <v>2450</v>
      </c>
      <c r="D9" s="13" t="inlineStr">
        <is>
          <t>#,##0</t>
        </is>
      </c>
      <c r="E9" s="13" t="inlineStr">
        <is>
          <t>Multi-repo CI/CD autonomous patch verification</t>
        </is>
      </c>
    </row>
    <row r="10">
      <c r="A10" s="12" t="inlineStr">
        <is>
          <t>OVERAGE_RATE</t>
        </is>
      </c>
      <c r="B10" s="13" t="inlineStr">
        <is>
          <t>Blended Overage Price per Extra Verified Run</t>
        </is>
      </c>
      <c r="C10" s="15" t="n">
        <v>0.45</v>
      </c>
      <c r="D10" s="13" t="inlineStr">
        <is>
          <t>$#,##0.00</t>
        </is>
      </c>
      <c r="E10" s="13" t="inlineStr">
        <is>
          <t>Usage-based overage billing via Dodo Payments meters</t>
        </is>
      </c>
    </row>
    <row r="11">
      <c r="A11" s="12" t="inlineStr">
        <is>
          <t>DODO_MOR_PCT</t>
        </is>
      </c>
      <c r="B11" s="13" t="inlineStr">
        <is>
          <t>Dodo Payments Merchant-of-Record Fee %</t>
        </is>
      </c>
      <c r="C11" s="17" t="n">
        <v>0.039</v>
      </c>
      <c r="D11" s="13" t="inlineStr">
        <is>
          <t>0.0%</t>
        </is>
      </c>
      <c r="E11" s="13" t="inlineStr">
        <is>
          <t>Global tax, VAT/GST &amp; subscription compliance fee (3.9%)</t>
        </is>
      </c>
    </row>
    <row r="12">
      <c r="A12" s="12" t="inlineStr">
        <is>
          <t>DODO_FIXED</t>
        </is>
      </c>
      <c r="B12" s="13" t="inlineStr">
        <is>
          <t>Dodo Payments Fixed Fee per Transaction</t>
        </is>
      </c>
      <c r="C12" s="15" t="n">
        <v>0.4</v>
      </c>
      <c r="D12" s="13" t="inlineStr">
        <is>
          <t>$#,##0.00</t>
        </is>
      </c>
      <c r="E12" s="13" t="inlineStr">
        <is>
          <t>Per-invoice settlement fee</t>
        </is>
      </c>
    </row>
    <row r="13">
      <c r="A13" s="12" t="inlineStr">
        <is>
          <t>V1_PROMPT_TOK</t>
        </is>
      </c>
      <c r="B13" s="13" t="inlineStr">
        <is>
          <t>v1 Baseline Prompt Tokens per Run (Unbounded)</t>
        </is>
      </c>
      <c r="C13" s="16" t="n">
        <v>26743</v>
      </c>
      <c r="D13" s="13" t="inlineStr">
        <is>
          <t>#,##0</t>
        </is>
      </c>
      <c r="E13" s="13" t="inlineStr">
        <is>
          <t>Measured in Neatlogs trace exp_24aa3f2776 (Before fix)</t>
        </is>
      </c>
    </row>
    <row r="14">
      <c r="A14" s="12" t="inlineStr">
        <is>
          <t>V1_COMP_TOK</t>
        </is>
      </c>
      <c r="B14" s="13" t="inlineStr">
        <is>
          <t>v1 Baseline Completion Tokens per Run</t>
        </is>
      </c>
      <c r="C14" s="16" t="n">
        <v>4350</v>
      </c>
      <c r="D14" s="13" t="inlineStr">
        <is>
          <t>#,##0</t>
        </is>
      </c>
      <c r="E14" s="13" t="inlineStr">
        <is>
          <t>Measured in Neatlogs trace exp_24aa3f2776 (Before fix)</t>
        </is>
      </c>
    </row>
    <row r="15">
      <c r="A15" s="12" t="inlineStr">
        <is>
          <t>V2_PROMPT_TOK</t>
        </is>
      </c>
      <c r="B15" s="13" t="inlineStr">
        <is>
          <t>v4 Surgical Fast-Tier Prompt Tokens per Run (entire-graph + AST unparse)</t>
        </is>
      </c>
      <c r="C15" s="16" t="n">
        <v>598</v>
      </c>
      <c r="D15" s="13" t="inlineStr">
        <is>
          <t>#,##0</t>
        </is>
      </c>
      <c r="E15" s="13" t="inlineStr">
        <is>
          <t>Measured in Neatlogs trace exp_24aa3f2776 (-97.76% vs v1, -60.99% vs v3)</t>
        </is>
      </c>
    </row>
    <row r="16">
      <c r="A16" s="12" t="inlineStr">
        <is>
          <t>V2_COMP_TOK</t>
        </is>
      </c>
      <c r="B16" s="13" t="inlineStr">
        <is>
          <t>v4 Surgical Fast-Tier Completion Tokens per Run</t>
        </is>
      </c>
      <c r="C16" s="16" t="n">
        <v>348</v>
      </c>
      <c r="D16" s="13" t="inlineStr">
        <is>
          <t>#,##0</t>
        </is>
      </c>
      <c r="E16" s="13" t="inlineStr">
        <is>
          <t>Measured in Neatlogs trace exp_24aa3f2776 (-92.00% vs v1, -49.20% vs v3)</t>
        </is>
      </c>
    </row>
    <row r="17">
      <c r="A17" s="12" t="inlineStr">
        <is>
          <t>COGS_V1_ENT</t>
        </is>
      </c>
      <c r="B17" s="13" t="inlineStr">
        <is>
          <t>v1 Modeled Enterprise Multi-Repo COGS per Run</t>
        </is>
      </c>
      <c r="C17" s="18" t="n">
        <v>1.8626</v>
      </c>
      <c r="D17" s="13" t="inlineStr">
        <is>
          <t>$#,##0.0000</t>
        </is>
      </c>
      <c r="E17" s="13" t="inlineStr">
        <is>
          <t>100k-LOC repo without entire-graph + retry overhead</t>
        </is>
      </c>
    </row>
    <row r="18">
      <c r="A18" s="12" t="inlineStr">
        <is>
          <t>COGS_V2_ENT</t>
        </is>
      </c>
      <c r="B18" s="13" t="inlineStr">
        <is>
          <t>v4 Modeled Enterprise Multi-Repo COGS per Run</t>
        </is>
      </c>
      <c r="C18" s="18" t="n">
        <v>0.0451</v>
      </c>
      <c r="D18" s="13" t="inlineStr">
        <is>
          <t>$#,##0.0000</t>
        </is>
      </c>
      <c r="E18" s="13" t="inlineStr">
        <is>
          <t>AST-unparsed entire-graph + Entire Brain + fast runner (-97.58% COGS)</t>
        </is>
      </c>
    </row>
    <row r="19">
      <c r="A19" s="12" t="inlineStr">
        <is>
          <t>COGS_V2_FLASH</t>
        </is>
      </c>
      <c r="B19" s="13" t="inlineStr">
        <is>
          <t>v4 Measured Direct API Cost per Run (Tier-0 nova-2-lite + Sonnet escalation)</t>
        </is>
      </c>
      <c r="C19" s="19" t="n">
        <v>0.000298</v>
      </c>
      <c r="D19" s="13" t="inlineStr">
        <is>
          <t>$#,##0.000000</t>
        </is>
      </c>
      <c r="E19" s="13" t="inlineStr">
        <is>
          <t>Measured LiteLLM direct API cost ($0.145479 -&gt; $0.000298, -99.80%, 488x cheaper)</t>
        </is>
      </c>
    </row>
    <row r="20">
      <c r="A20" s="12" t="inlineStr">
        <is>
          <t>AWS_LAMBDA_RUN</t>
        </is>
      </c>
      <c r="B20" s="13" t="inlineStr">
        <is>
          <t>AWS Lambda us-east-1 Attestation Cost per Run</t>
        </is>
      </c>
      <c r="C20" s="20" t="n">
        <v>0.00015</v>
      </c>
      <c r="D20" s="13" t="inlineStr">
        <is>
          <t>$#,##0.00000</t>
        </is>
      </c>
      <c r="E20" s="13" t="inlineStr">
        <is>
          <t>verifix-hyperx-patch-verifier (256MB, &lt;50ms duration)</t>
        </is>
      </c>
    </row>
    <row r="21">
      <c r="A21" s="12" t="inlineStr">
        <is>
          <t>BASE_PAYROLL</t>
        </is>
      </c>
      <c r="B21" s="13" t="inlineStr">
        <is>
          <t>Monthly Core Engineering &amp; Founder Ops Payroll</t>
        </is>
      </c>
      <c r="C21" s="14" t="n">
        <v>14500</v>
      </c>
      <c r="D21" s="13" t="inlineStr">
        <is>
          <t>$#,##0</t>
        </is>
      </c>
      <c r="E21" s="13" t="inlineStr">
        <is>
          <t>Lean AI-native team (2 engineers + founder GTM)</t>
        </is>
      </c>
    </row>
    <row r="22">
      <c r="A22" s="12" t="inlineStr">
        <is>
          <t>CLOUD_FIXED</t>
        </is>
      </c>
      <c r="B22" s="13" t="inlineStr">
        <is>
          <t>Monthly Fixed Cloud, Neatlogs Pro &amp; Entire Infra</t>
        </is>
      </c>
      <c r="C22" s="14" t="n">
        <v>1250</v>
      </c>
      <c r="D22" s="13" t="inlineStr">
        <is>
          <t>$#,##0</t>
        </is>
      </c>
      <c r="E22" s="13" t="inlineStr">
        <is>
          <t>Dedicated Neatlogs observability + CI runners + VPC</t>
        </is>
      </c>
    </row>
    <row r="23">
      <c r="A23" s="12" t="inlineStr">
        <is>
          <t>GTM_BASE</t>
        </is>
      </c>
      <c r="B23" s="13" t="inlineStr">
        <is>
          <t>Monthly PLG &amp; Open-Source DevRel Marketing Spend</t>
        </is>
      </c>
      <c r="C23" s="14" t="n">
        <v>2200</v>
      </c>
      <c r="D23" s="13" t="inlineStr">
        <is>
          <t>$#,##0</t>
        </is>
      </c>
      <c r="E23" s="13" t="inlineStr">
        <is>
          <t>GitHub Marketplace, #neatHack OSS bug-hunt campaigns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44" customWidth="1" min="19" max="19"/>
    <col width="44" customWidth="1" min="20" max="20"/>
    <col width="44" customWidth="1" min="21" max="21"/>
    <col width="44" customWidth="1" min="22" max="22"/>
    <col width="44" customWidth="1" min="23" max="23"/>
    <col width="44" customWidth="1" min="24" max="24"/>
    <col width="44" customWidth="1" min="25" max="25"/>
  </cols>
  <sheetData>
    <row r="1">
      <c r="A1" s="1" t="inlineStr">
        <is>
          <t>VeriFix — 24-Month Deterministic Operating &amp; Cash Flow Model (Main Scenario — Formula Driven)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Line Item / Metric</t>
        </is>
      </c>
      <c r="B2" s="2" t="inlineStr">
        <is>
          <t>M1</t>
        </is>
      </c>
      <c r="C2" s="2" t="inlineStr">
        <is>
          <t>M2</t>
        </is>
      </c>
      <c r="D2" s="2" t="inlineStr">
        <is>
          <t>M3</t>
        </is>
      </c>
      <c r="E2" s="2" t="inlineStr">
        <is>
          <t>M4</t>
        </is>
      </c>
      <c r="F2" s="2" t="inlineStr">
        <is>
          <t>M5</t>
        </is>
      </c>
      <c r="G2" s="2" t="inlineStr">
        <is>
          <t>M6</t>
        </is>
      </c>
      <c r="H2" s="2" t="inlineStr">
        <is>
          <t>M7</t>
        </is>
      </c>
      <c r="I2" s="2" t="inlineStr">
        <is>
          <t>M8</t>
        </is>
      </c>
      <c r="J2" s="2" t="inlineStr">
        <is>
          <t>M9</t>
        </is>
      </c>
      <c r="K2" s="2" t="inlineStr">
        <is>
          <t>M10</t>
        </is>
      </c>
      <c r="L2" s="2" t="inlineStr">
        <is>
          <t>M11</t>
        </is>
      </c>
      <c r="M2" s="2" t="inlineStr">
        <is>
          <t>M12</t>
        </is>
      </c>
      <c r="N2" s="2" t="inlineStr">
        <is>
          <t>M13</t>
        </is>
      </c>
      <c r="O2" s="2" t="inlineStr">
        <is>
          <t>M14</t>
        </is>
      </c>
      <c r="P2" s="2" t="inlineStr">
        <is>
          <t>M15</t>
        </is>
      </c>
      <c r="Q2" s="2" t="inlineStr">
        <is>
          <t>M16</t>
        </is>
      </c>
      <c r="R2" s="2" t="inlineStr">
        <is>
          <t>M17</t>
        </is>
      </c>
      <c r="S2" s="2" t="inlineStr">
        <is>
          <t>M18</t>
        </is>
      </c>
      <c r="T2" s="2" t="inlineStr">
        <is>
          <t>M19</t>
        </is>
      </c>
      <c r="U2" s="2" t="inlineStr">
        <is>
          <t>M20</t>
        </is>
      </c>
      <c r="V2" s="2" t="inlineStr">
        <is>
          <t>M21</t>
        </is>
      </c>
      <c r="W2" s="2" t="inlineStr">
        <is>
          <t>M22</t>
        </is>
      </c>
      <c r="X2" s="2" t="inlineStr">
        <is>
          <t>M23</t>
        </is>
      </c>
      <c r="Y2" s="2" t="inlineStr">
        <is>
          <t>M24</t>
        </is>
      </c>
    </row>
    <row r="3">
      <c r="A3" s="3" t="inlineStr">
        <is>
          <t>Active Solo Pro Customers ($49/mo)</t>
        </is>
      </c>
      <c r="B3" s="4" t="n">
        <v>14</v>
      </c>
      <c r="C3" s="4">
        <f>ROUND(B3*1.16 + 6, 0)</f>
        <v/>
      </c>
      <c r="D3" s="4">
        <f>ROUND(C3*1.16 + 6, 0)</f>
        <v/>
      </c>
      <c r="E3" s="4">
        <f>ROUND(D3*1.16 + 6, 0)</f>
        <v/>
      </c>
      <c r="F3" s="4">
        <f>ROUND(E3*1.16 + 6, 0)</f>
        <v/>
      </c>
      <c r="G3" s="4">
        <f>ROUND(F3*1.16 + 6, 0)</f>
        <v/>
      </c>
      <c r="H3" s="4">
        <f>ROUND(G3*1.16 + 6, 0)</f>
        <v/>
      </c>
      <c r="I3" s="4">
        <f>ROUND(H3*1.16 + 6, 0)</f>
        <v/>
      </c>
      <c r="J3" s="4">
        <f>ROUND(I3*1.16 + 6, 0)</f>
        <v/>
      </c>
      <c r="K3" s="4">
        <f>ROUND(J3*1.16 + 6, 0)</f>
        <v/>
      </c>
      <c r="L3" s="4">
        <f>ROUND(K3*1.16 + 6, 0)</f>
        <v/>
      </c>
      <c r="M3" s="4">
        <f>ROUND(L3*1.16 + 6, 0)</f>
        <v/>
      </c>
      <c r="N3" s="4">
        <f>ROUND(M3*1.16 + 6, 0)</f>
        <v/>
      </c>
      <c r="O3" s="4">
        <f>ROUND(N3*1.16 + 6, 0)</f>
        <v/>
      </c>
      <c r="P3" s="4">
        <f>ROUND(O3*1.16 + 6, 0)</f>
        <v/>
      </c>
      <c r="Q3" s="4">
        <f>ROUND(P3*1.16 + 6, 0)</f>
        <v/>
      </c>
      <c r="R3" s="4">
        <f>ROUND(Q3*1.16 + 6, 0)</f>
        <v/>
      </c>
      <c r="S3" s="4">
        <f>ROUND(R3*1.16 + 6, 0)</f>
        <v/>
      </c>
      <c r="T3" s="4">
        <f>ROUND(S3*1.16 + 6, 0)</f>
        <v/>
      </c>
      <c r="U3" s="4">
        <f>ROUND(T3*1.16 + 6, 0)</f>
        <v/>
      </c>
      <c r="V3" s="4">
        <f>ROUND(U3*1.16 + 6, 0)</f>
        <v/>
      </c>
      <c r="W3" s="4">
        <f>ROUND(V3*1.16 + 6, 0)</f>
        <v/>
      </c>
      <c r="X3" s="4">
        <f>ROUND(W3*1.16 + 6, 0)</f>
        <v/>
      </c>
      <c r="Y3" s="4">
        <f>ROUND(X3*1.16 + 6, 0)</f>
        <v/>
      </c>
    </row>
    <row r="4">
      <c r="A4" s="3" t="inlineStr">
        <is>
          <t>Active Team Guarded Customers ($249/mo)</t>
        </is>
      </c>
      <c r="B4" s="4" t="n">
        <v>3</v>
      </c>
      <c r="C4" s="4">
        <f>ROUND(B4*1.14 + 2, 0)</f>
        <v/>
      </c>
      <c r="D4" s="4">
        <f>ROUND(C4*1.14 + 2, 0)</f>
        <v/>
      </c>
      <c r="E4" s="4">
        <f>ROUND(D4*1.14 + 2, 0)</f>
        <v/>
      </c>
      <c r="F4" s="4">
        <f>ROUND(E4*1.14 + 2, 0)</f>
        <v/>
      </c>
      <c r="G4" s="4">
        <f>ROUND(F4*1.14 + 2, 0)</f>
        <v/>
      </c>
      <c r="H4" s="4">
        <f>ROUND(G4*1.14 + 2, 0)</f>
        <v/>
      </c>
      <c r="I4" s="4">
        <f>ROUND(H4*1.14 + 2, 0)</f>
        <v/>
      </c>
      <c r="J4" s="4">
        <f>ROUND(I4*1.14 + 2, 0)</f>
        <v/>
      </c>
      <c r="K4" s="4">
        <f>ROUND(J4*1.14 + 2, 0)</f>
        <v/>
      </c>
      <c r="L4" s="4">
        <f>ROUND(K4*1.14 + 2, 0)</f>
        <v/>
      </c>
      <c r="M4" s="4">
        <f>ROUND(L4*1.14 + 2, 0)</f>
        <v/>
      </c>
      <c r="N4" s="4">
        <f>ROUND(M4*1.14 + 2, 0)</f>
        <v/>
      </c>
      <c r="O4" s="4">
        <f>ROUND(N4*1.14 + 2, 0)</f>
        <v/>
      </c>
      <c r="P4" s="4">
        <f>ROUND(O4*1.14 + 2, 0)</f>
        <v/>
      </c>
      <c r="Q4" s="4">
        <f>ROUND(P4*1.14 + 2, 0)</f>
        <v/>
      </c>
      <c r="R4" s="4">
        <f>ROUND(Q4*1.14 + 2, 0)</f>
        <v/>
      </c>
      <c r="S4" s="4">
        <f>ROUND(R4*1.14 + 2, 0)</f>
        <v/>
      </c>
      <c r="T4" s="4">
        <f>ROUND(S4*1.14 + 2, 0)</f>
        <v/>
      </c>
      <c r="U4" s="4">
        <f>ROUND(T4*1.14 + 2, 0)</f>
        <v/>
      </c>
      <c r="V4" s="4">
        <f>ROUND(U4*1.14 + 2, 0)</f>
        <v/>
      </c>
      <c r="W4" s="4">
        <f>ROUND(V4*1.14 + 2, 0)</f>
        <v/>
      </c>
      <c r="X4" s="4">
        <f>ROUND(W4*1.14 + 2, 0)</f>
        <v/>
      </c>
      <c r="Y4" s="4">
        <f>ROUND(X4*1.14 + 2, 0)</f>
        <v/>
      </c>
    </row>
    <row r="5">
      <c r="A5" s="3" t="inlineStr">
        <is>
          <t>Active Enterprise VPC Customers ($999/mo)</t>
        </is>
      </c>
      <c r="B5" s="4" t="n">
        <v>1</v>
      </c>
      <c r="C5" s="4">
        <f> B5 + IF(MOD(2,2)=0, 1, 0)</f>
        <v/>
      </c>
      <c r="D5" s="4">
        <f> C5 + IF(MOD(3,2)=0, 1, 0)</f>
        <v/>
      </c>
      <c r="E5" s="4">
        <f> D5 + IF(MOD(4,2)=0, 1, 0)</f>
        <v/>
      </c>
      <c r="F5" s="4">
        <f> E5 + IF(MOD(5,2)=0, 1, 0)</f>
        <v/>
      </c>
      <c r="G5" s="4">
        <f> F5 + IF(MOD(6,2)=0, 1, 0)</f>
        <v/>
      </c>
      <c r="H5" s="4">
        <f> G5 + IF(MOD(7,2)=0, 1, 0)</f>
        <v/>
      </c>
      <c r="I5" s="4">
        <f> H5 + IF(MOD(8,2)=0, 1, 0)</f>
        <v/>
      </c>
      <c r="J5" s="4">
        <f> I5 + IF(MOD(9,2)=0, 1, 0)</f>
        <v/>
      </c>
      <c r="K5" s="4">
        <f> J5 + IF(MOD(10,2)=0, 1, 0)</f>
        <v/>
      </c>
      <c r="L5" s="4">
        <f> K5 + IF(MOD(11,2)=0, 1, 0)</f>
        <v/>
      </c>
      <c r="M5" s="4">
        <f> L5 + IF(MOD(12,2)=0, 1, 0)</f>
        <v/>
      </c>
      <c r="N5" s="4">
        <f> M5 + IF(MOD(13,2)=0, 1, 0)</f>
        <v/>
      </c>
      <c r="O5" s="4">
        <f> N5 + IF(MOD(14,2)=0, 1, 0)</f>
        <v/>
      </c>
      <c r="P5" s="4">
        <f> O5 + IF(MOD(15,2)=0, 1, 0)</f>
        <v/>
      </c>
      <c r="Q5" s="4">
        <f> P5 + IF(MOD(16,2)=0, 1, 0)</f>
        <v/>
      </c>
      <c r="R5" s="4">
        <f> Q5 + IF(MOD(17,2)=0, 1, 0)</f>
        <v/>
      </c>
      <c r="S5" s="4">
        <f> R5 + IF(MOD(18,2)=0, 1, 0)</f>
        <v/>
      </c>
      <c r="T5" s="4">
        <f> S5 + IF(MOD(19,2)=0, 1, 0)</f>
        <v/>
      </c>
      <c r="U5" s="4">
        <f> T5 + IF(MOD(20,2)=0, 1, 0)</f>
        <v/>
      </c>
      <c r="V5" s="4">
        <f> U5 + IF(MOD(21,2)=0, 1, 0)</f>
        <v/>
      </c>
      <c r="W5" s="4">
        <f> V5 + IF(MOD(22,2)=0, 1, 0)</f>
        <v/>
      </c>
      <c r="X5" s="4">
        <f> W5 + IF(MOD(23,2)=0, 1, 0)</f>
        <v/>
      </c>
      <c r="Y5" s="4">
        <f> X5 + IF(MOD(24,2)=0, 1, 0)</f>
        <v/>
      </c>
    </row>
    <row r="6">
      <c r="A6" s="21" t="inlineStr">
        <is>
          <t>Total Active Customers</t>
        </is>
      </c>
      <c r="B6" s="22">
        <f>SUM(B3:B5)</f>
        <v/>
      </c>
      <c r="C6" s="22">
        <f>SUM(C3:C5)</f>
        <v/>
      </c>
      <c r="D6" s="22">
        <f>SUM(D3:D5)</f>
        <v/>
      </c>
      <c r="E6" s="22">
        <f>SUM(E3:E5)</f>
        <v/>
      </c>
      <c r="F6" s="22">
        <f>SUM(F3:F5)</f>
        <v/>
      </c>
      <c r="G6" s="22">
        <f>SUM(G3:G5)</f>
        <v/>
      </c>
      <c r="H6" s="22">
        <f>SUM(H3:H5)</f>
        <v/>
      </c>
      <c r="I6" s="22">
        <f>SUM(I3:I5)</f>
        <v/>
      </c>
      <c r="J6" s="22">
        <f>SUM(J3:J5)</f>
        <v/>
      </c>
      <c r="K6" s="22">
        <f>SUM(K3:K5)</f>
        <v/>
      </c>
      <c r="L6" s="22">
        <f>SUM(L3:L5)</f>
        <v/>
      </c>
      <c r="M6" s="22">
        <f>SUM(M3:M5)</f>
        <v/>
      </c>
      <c r="N6" s="22">
        <f>SUM(N3:N5)</f>
        <v/>
      </c>
      <c r="O6" s="22">
        <f>SUM(O3:O5)</f>
        <v/>
      </c>
      <c r="P6" s="22">
        <f>SUM(P3:P5)</f>
        <v/>
      </c>
      <c r="Q6" s="22">
        <f>SUM(Q3:Q5)</f>
        <v/>
      </c>
      <c r="R6" s="22">
        <f>SUM(R3:R5)</f>
        <v/>
      </c>
      <c r="S6" s="22">
        <f>SUM(S3:S5)</f>
        <v/>
      </c>
      <c r="T6" s="22">
        <f>SUM(T3:T5)</f>
        <v/>
      </c>
      <c r="U6" s="22">
        <f>SUM(U3:U5)</f>
        <v/>
      </c>
      <c r="V6" s="22">
        <f>SUM(V3:V5)</f>
        <v/>
      </c>
      <c r="W6" s="22">
        <f>SUM(W3:W5)</f>
        <v/>
      </c>
      <c r="X6" s="22">
        <f>SUM(X3:X5)</f>
        <v/>
      </c>
      <c r="Y6" s="22">
        <f>SUM(Y3:Y5)</f>
        <v/>
      </c>
    </row>
    <row r="7">
      <c r="A7" s="3" t="inlineStr">
        <is>
          <t>Total Monthly Verified Remediation Runs</t>
        </is>
      </c>
      <c r="B7" s="4">
        <f>B3*Assumptions!$C$7 + B4*Assumptions!$C$8 + B5*Assumptions!$C$9</f>
        <v/>
      </c>
      <c r="C7" s="4">
        <f>C3*Assumptions!$C$7 + C4*Assumptions!$C$8 + C5*Assumptions!$C$9</f>
        <v/>
      </c>
      <c r="D7" s="4">
        <f>D3*Assumptions!$C$7 + D4*Assumptions!$C$8 + D5*Assumptions!$C$9</f>
        <v/>
      </c>
      <c r="E7" s="4">
        <f>E3*Assumptions!$C$7 + E4*Assumptions!$C$8 + E5*Assumptions!$C$9</f>
        <v/>
      </c>
      <c r="F7" s="4">
        <f>F3*Assumptions!$C$7 + F4*Assumptions!$C$8 + F5*Assumptions!$C$9</f>
        <v/>
      </c>
      <c r="G7" s="4">
        <f>G3*Assumptions!$C$7 + G4*Assumptions!$C$8 + G5*Assumptions!$C$9</f>
        <v/>
      </c>
      <c r="H7" s="4">
        <f>H3*Assumptions!$C$7 + H4*Assumptions!$C$8 + H5*Assumptions!$C$9</f>
        <v/>
      </c>
      <c r="I7" s="4">
        <f>I3*Assumptions!$C$7 + I4*Assumptions!$C$8 + I5*Assumptions!$C$9</f>
        <v/>
      </c>
      <c r="J7" s="4">
        <f>J3*Assumptions!$C$7 + J4*Assumptions!$C$8 + J5*Assumptions!$C$9</f>
        <v/>
      </c>
      <c r="K7" s="4">
        <f>K3*Assumptions!$C$7 + K4*Assumptions!$C$8 + K5*Assumptions!$C$9</f>
        <v/>
      </c>
      <c r="L7" s="4">
        <f>L3*Assumptions!$C$7 + L4*Assumptions!$C$8 + L5*Assumptions!$C$9</f>
        <v/>
      </c>
      <c r="M7" s="4">
        <f>M3*Assumptions!$C$7 + M4*Assumptions!$C$8 + M5*Assumptions!$C$9</f>
        <v/>
      </c>
      <c r="N7" s="4">
        <f>N3*Assumptions!$C$7 + N4*Assumptions!$C$8 + N5*Assumptions!$C$9</f>
        <v/>
      </c>
      <c r="O7" s="4">
        <f>O3*Assumptions!$C$7 + O4*Assumptions!$C$8 + O5*Assumptions!$C$9</f>
        <v/>
      </c>
      <c r="P7" s="4">
        <f>P3*Assumptions!$C$7 + P4*Assumptions!$C$8 + P5*Assumptions!$C$9</f>
        <v/>
      </c>
      <c r="Q7" s="4">
        <f>Q3*Assumptions!$C$7 + Q4*Assumptions!$C$8 + Q5*Assumptions!$C$9</f>
        <v/>
      </c>
      <c r="R7" s="4">
        <f>R3*Assumptions!$C$7 + R4*Assumptions!$C$8 + R5*Assumptions!$C$9</f>
        <v/>
      </c>
      <c r="S7" s="4">
        <f>S3*Assumptions!$C$7 + S4*Assumptions!$C$8 + S5*Assumptions!$C$9</f>
        <v/>
      </c>
      <c r="T7" s="4">
        <f>T3*Assumptions!$C$7 + T4*Assumptions!$C$8 + T5*Assumptions!$C$9</f>
        <v/>
      </c>
      <c r="U7" s="4">
        <f>U3*Assumptions!$C$7 + U4*Assumptions!$C$8 + U5*Assumptions!$C$9</f>
        <v/>
      </c>
      <c r="V7" s="4">
        <f>V3*Assumptions!$C$7 + V4*Assumptions!$C$8 + V5*Assumptions!$C$9</f>
        <v/>
      </c>
      <c r="W7" s="4">
        <f>W3*Assumptions!$C$7 + W4*Assumptions!$C$8 + W5*Assumptions!$C$9</f>
        <v/>
      </c>
      <c r="X7" s="4">
        <f>X3*Assumptions!$C$7 + X4*Assumptions!$C$8 + X5*Assumptions!$C$9</f>
        <v/>
      </c>
      <c r="Y7" s="4">
        <f>Y3*Assumptions!$C$7 + Y4*Assumptions!$C$8 + Y5*Assumptions!$C$9</f>
        <v/>
      </c>
    </row>
    <row r="8">
      <c r="A8" s="3" t="inlineStr">
        <is>
          <t>Subscription MRR ($)</t>
        </is>
      </c>
      <c r="B8" s="5">
        <f>B3*Assumptions!$C$4 + B4*Assumptions!$C$5 + B5*Assumptions!$C$6</f>
        <v/>
      </c>
      <c r="C8" s="5">
        <f>C3*Assumptions!$C$4 + C4*Assumptions!$C$5 + C5*Assumptions!$C$6</f>
        <v/>
      </c>
      <c r="D8" s="5">
        <f>D3*Assumptions!$C$4 + D4*Assumptions!$C$5 + D5*Assumptions!$C$6</f>
        <v/>
      </c>
      <c r="E8" s="5">
        <f>E3*Assumptions!$C$4 + E4*Assumptions!$C$5 + E5*Assumptions!$C$6</f>
        <v/>
      </c>
      <c r="F8" s="5">
        <f>F3*Assumptions!$C$4 + F4*Assumptions!$C$5 + F5*Assumptions!$C$6</f>
        <v/>
      </c>
      <c r="G8" s="5">
        <f>G3*Assumptions!$C$4 + G4*Assumptions!$C$5 + G5*Assumptions!$C$6</f>
        <v/>
      </c>
      <c r="H8" s="5">
        <f>H3*Assumptions!$C$4 + H4*Assumptions!$C$5 + H5*Assumptions!$C$6</f>
        <v/>
      </c>
      <c r="I8" s="5">
        <f>I3*Assumptions!$C$4 + I4*Assumptions!$C$5 + I5*Assumptions!$C$6</f>
        <v/>
      </c>
      <c r="J8" s="5">
        <f>J3*Assumptions!$C$4 + J4*Assumptions!$C$5 + J5*Assumptions!$C$6</f>
        <v/>
      </c>
      <c r="K8" s="5">
        <f>K3*Assumptions!$C$4 + K4*Assumptions!$C$5 + K5*Assumptions!$C$6</f>
        <v/>
      </c>
      <c r="L8" s="5">
        <f>L3*Assumptions!$C$4 + L4*Assumptions!$C$5 + L5*Assumptions!$C$6</f>
        <v/>
      </c>
      <c r="M8" s="5">
        <f>M3*Assumptions!$C$4 + M4*Assumptions!$C$5 + M5*Assumptions!$C$6</f>
        <v/>
      </c>
      <c r="N8" s="5">
        <f>N3*Assumptions!$C$4 + N4*Assumptions!$C$5 + N5*Assumptions!$C$6</f>
        <v/>
      </c>
      <c r="O8" s="5">
        <f>O3*Assumptions!$C$4 + O4*Assumptions!$C$5 + O5*Assumptions!$C$6</f>
        <v/>
      </c>
      <c r="P8" s="5">
        <f>P3*Assumptions!$C$4 + P4*Assumptions!$C$5 + P5*Assumptions!$C$6</f>
        <v/>
      </c>
      <c r="Q8" s="5">
        <f>Q3*Assumptions!$C$4 + Q4*Assumptions!$C$5 + Q5*Assumptions!$C$6</f>
        <v/>
      </c>
      <c r="R8" s="5">
        <f>R3*Assumptions!$C$4 + R4*Assumptions!$C$5 + R5*Assumptions!$C$6</f>
        <v/>
      </c>
      <c r="S8" s="5">
        <f>S3*Assumptions!$C$4 + S4*Assumptions!$C$5 + S5*Assumptions!$C$6</f>
        <v/>
      </c>
      <c r="T8" s="5">
        <f>T3*Assumptions!$C$4 + T4*Assumptions!$C$5 + T5*Assumptions!$C$6</f>
        <v/>
      </c>
      <c r="U8" s="5">
        <f>U3*Assumptions!$C$4 + U4*Assumptions!$C$5 + U5*Assumptions!$C$6</f>
        <v/>
      </c>
      <c r="V8" s="5">
        <f>V3*Assumptions!$C$4 + V4*Assumptions!$C$5 + V5*Assumptions!$C$6</f>
        <v/>
      </c>
      <c r="W8" s="5">
        <f>W3*Assumptions!$C$4 + W4*Assumptions!$C$5 + W5*Assumptions!$C$6</f>
        <v/>
      </c>
      <c r="X8" s="5">
        <f>X3*Assumptions!$C$4 + X4*Assumptions!$C$5 + X5*Assumptions!$C$6</f>
        <v/>
      </c>
      <c r="Y8" s="5">
        <f>Y3*Assumptions!$C$4 + Y4*Assumptions!$C$5 + Y5*Assumptions!$C$6</f>
        <v/>
      </c>
    </row>
    <row r="9">
      <c r="A9" s="3" t="inlineStr">
        <is>
          <t>Usage Overage Revenue ($)</t>
        </is>
      </c>
      <c r="B9" s="5">
        <f>ROUND(B7*0.12*Assumptions!$C$10, 2)</f>
        <v/>
      </c>
      <c r="C9" s="5">
        <f>ROUND(C7*0.12*Assumptions!$C$10, 2)</f>
        <v/>
      </c>
      <c r="D9" s="5">
        <f>ROUND(D7*0.12*Assumptions!$C$10, 2)</f>
        <v/>
      </c>
      <c r="E9" s="5">
        <f>ROUND(E7*0.12*Assumptions!$C$10, 2)</f>
        <v/>
      </c>
      <c r="F9" s="5">
        <f>ROUND(F7*0.12*Assumptions!$C$10, 2)</f>
        <v/>
      </c>
      <c r="G9" s="5">
        <f>ROUND(G7*0.12*Assumptions!$C$10, 2)</f>
        <v/>
      </c>
      <c r="H9" s="5">
        <f>ROUND(H7*0.12*Assumptions!$C$10, 2)</f>
        <v/>
      </c>
      <c r="I9" s="5">
        <f>ROUND(I7*0.12*Assumptions!$C$10, 2)</f>
        <v/>
      </c>
      <c r="J9" s="5">
        <f>ROUND(J7*0.12*Assumptions!$C$10, 2)</f>
        <v/>
      </c>
      <c r="K9" s="5">
        <f>ROUND(K7*0.12*Assumptions!$C$10, 2)</f>
        <v/>
      </c>
      <c r="L9" s="5">
        <f>ROUND(L7*0.12*Assumptions!$C$10, 2)</f>
        <v/>
      </c>
      <c r="M9" s="5">
        <f>ROUND(M7*0.12*Assumptions!$C$10, 2)</f>
        <v/>
      </c>
      <c r="N9" s="5">
        <f>ROUND(N7*0.12*Assumptions!$C$10, 2)</f>
        <v/>
      </c>
      <c r="O9" s="5">
        <f>ROUND(O7*0.12*Assumptions!$C$10, 2)</f>
        <v/>
      </c>
      <c r="P9" s="5">
        <f>ROUND(P7*0.12*Assumptions!$C$10, 2)</f>
        <v/>
      </c>
      <c r="Q9" s="5">
        <f>ROUND(Q7*0.12*Assumptions!$C$10, 2)</f>
        <v/>
      </c>
      <c r="R9" s="5">
        <f>ROUND(R7*0.12*Assumptions!$C$10, 2)</f>
        <v/>
      </c>
      <c r="S9" s="5">
        <f>ROUND(S7*0.12*Assumptions!$C$10, 2)</f>
        <v/>
      </c>
      <c r="T9" s="5">
        <f>ROUND(T7*0.12*Assumptions!$C$10, 2)</f>
        <v/>
      </c>
      <c r="U9" s="5">
        <f>ROUND(U7*0.12*Assumptions!$C$10, 2)</f>
        <v/>
      </c>
      <c r="V9" s="5">
        <f>ROUND(V7*0.12*Assumptions!$C$10, 2)</f>
        <v/>
      </c>
      <c r="W9" s="5">
        <f>ROUND(W7*0.12*Assumptions!$C$10, 2)</f>
        <v/>
      </c>
      <c r="X9" s="5">
        <f>ROUND(X7*0.12*Assumptions!$C$10, 2)</f>
        <v/>
      </c>
      <c r="Y9" s="5">
        <f>ROUND(Y7*0.12*Assumptions!$C$10, 2)</f>
        <v/>
      </c>
    </row>
    <row r="10">
      <c r="A10" s="21" t="inlineStr">
        <is>
          <t>Total Gross Monthly Revenue (MRR + Usage)</t>
        </is>
      </c>
      <c r="B10" s="23">
        <f>B8+B9</f>
        <v/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23">
        <f>H8+H9</f>
        <v/>
      </c>
      <c r="I10" s="23">
        <f>I8+I9</f>
        <v/>
      </c>
      <c r="J10" s="23">
        <f>J8+J9</f>
        <v/>
      </c>
      <c r="K10" s="23">
        <f>K8+K9</f>
        <v/>
      </c>
      <c r="L10" s="23">
        <f>L8+L9</f>
        <v/>
      </c>
      <c r="M10" s="23">
        <f>M8+M9</f>
        <v/>
      </c>
      <c r="N10" s="23">
        <f>N8+N9</f>
        <v/>
      </c>
      <c r="O10" s="23">
        <f>O8+O9</f>
        <v/>
      </c>
      <c r="P10" s="23">
        <f>P8+P9</f>
        <v/>
      </c>
      <c r="Q10" s="23">
        <f>Q8+Q9</f>
        <v/>
      </c>
      <c r="R10" s="23">
        <f>R8+R9</f>
        <v/>
      </c>
      <c r="S10" s="23">
        <f>S8+S9</f>
        <v/>
      </c>
      <c r="T10" s="23">
        <f>T8+T9</f>
        <v/>
      </c>
      <c r="U10" s="23">
        <f>U8+U9</f>
        <v/>
      </c>
      <c r="V10" s="23">
        <f>V8+V9</f>
        <v/>
      </c>
      <c r="W10" s="23">
        <f>W8+W9</f>
        <v/>
      </c>
      <c r="X10" s="23">
        <f>X8+X9</f>
        <v/>
      </c>
      <c r="Y10" s="23">
        <f>Y8+Y9</f>
        <v/>
      </c>
    </row>
    <row r="11">
      <c r="A11" s="21" t="inlineStr">
        <is>
          <t>Annualized Run-Rate Revenue (ARR)</t>
        </is>
      </c>
      <c r="B11" s="23">
        <f>B10*12</f>
        <v/>
      </c>
      <c r="C11" s="23">
        <f>C10*12</f>
        <v/>
      </c>
      <c r="D11" s="23">
        <f>D10*12</f>
        <v/>
      </c>
      <c r="E11" s="23">
        <f>E10*12</f>
        <v/>
      </c>
      <c r="F11" s="23">
        <f>F10*12</f>
        <v/>
      </c>
      <c r="G11" s="23">
        <f>G10*12</f>
        <v/>
      </c>
      <c r="H11" s="23">
        <f>H10*12</f>
        <v/>
      </c>
      <c r="I11" s="23">
        <f>I10*12</f>
        <v/>
      </c>
      <c r="J11" s="23">
        <f>J10*12</f>
        <v/>
      </c>
      <c r="K11" s="23">
        <f>K10*12</f>
        <v/>
      </c>
      <c r="L11" s="23">
        <f>L10*12</f>
        <v/>
      </c>
      <c r="M11" s="23">
        <f>M10*12</f>
        <v/>
      </c>
      <c r="N11" s="23">
        <f>N10*12</f>
        <v/>
      </c>
      <c r="O11" s="23">
        <f>O10*12</f>
        <v/>
      </c>
      <c r="P11" s="23">
        <f>P10*12</f>
        <v/>
      </c>
      <c r="Q11" s="23">
        <f>Q10*12</f>
        <v/>
      </c>
      <c r="R11" s="23">
        <f>R10*12</f>
        <v/>
      </c>
      <c r="S11" s="23">
        <f>S10*12</f>
        <v/>
      </c>
      <c r="T11" s="23">
        <f>T10*12</f>
        <v/>
      </c>
      <c r="U11" s="23">
        <f>U10*12</f>
        <v/>
      </c>
      <c r="V11" s="23">
        <f>V10*12</f>
        <v/>
      </c>
      <c r="W11" s="23">
        <f>W10*12</f>
        <v/>
      </c>
      <c r="X11" s="23">
        <f>X10*12</f>
        <v/>
      </c>
      <c r="Y11" s="23">
        <f>Y10*12</f>
        <v/>
      </c>
    </row>
    <row r="12">
      <c r="A12" s="3" t="inlineStr">
        <is>
          <t>LLM &amp; entire-graph Compute COGS (v2 Guarded)</t>
        </is>
      </c>
      <c r="B12" s="5">
        <f>ROUND(B7*(0.35*Assumptions!$C$18 + 0.65*Assumptions!$C$19), 2)</f>
        <v/>
      </c>
      <c r="C12" s="5">
        <f>ROUND(C7*(0.35*Assumptions!$C$18 + 0.65*Assumptions!$C$19), 2)</f>
        <v/>
      </c>
      <c r="D12" s="5">
        <f>ROUND(D7*(0.35*Assumptions!$C$18 + 0.65*Assumptions!$C$19), 2)</f>
        <v/>
      </c>
      <c r="E12" s="5">
        <f>ROUND(E7*(0.35*Assumptions!$C$18 + 0.65*Assumptions!$C$19), 2)</f>
        <v/>
      </c>
      <c r="F12" s="5">
        <f>ROUND(F7*(0.35*Assumptions!$C$18 + 0.65*Assumptions!$C$19), 2)</f>
        <v/>
      </c>
      <c r="G12" s="5">
        <f>ROUND(G7*(0.35*Assumptions!$C$18 + 0.65*Assumptions!$C$19), 2)</f>
        <v/>
      </c>
      <c r="H12" s="5">
        <f>ROUND(H7*(0.35*Assumptions!$C$18 + 0.65*Assumptions!$C$19), 2)</f>
        <v/>
      </c>
      <c r="I12" s="5">
        <f>ROUND(I7*(0.35*Assumptions!$C$18 + 0.65*Assumptions!$C$19), 2)</f>
        <v/>
      </c>
      <c r="J12" s="5">
        <f>ROUND(J7*(0.35*Assumptions!$C$18 + 0.65*Assumptions!$C$19), 2)</f>
        <v/>
      </c>
      <c r="K12" s="5">
        <f>ROUND(K7*(0.35*Assumptions!$C$18 + 0.65*Assumptions!$C$19), 2)</f>
        <v/>
      </c>
      <c r="L12" s="5">
        <f>ROUND(L7*(0.35*Assumptions!$C$18 + 0.65*Assumptions!$C$19), 2)</f>
        <v/>
      </c>
      <c r="M12" s="5">
        <f>ROUND(M7*(0.35*Assumptions!$C$18 + 0.65*Assumptions!$C$19), 2)</f>
        <v/>
      </c>
      <c r="N12" s="5">
        <f>ROUND(N7*(0.35*Assumptions!$C$18 + 0.65*Assumptions!$C$19), 2)</f>
        <v/>
      </c>
      <c r="O12" s="5">
        <f>ROUND(O7*(0.35*Assumptions!$C$18 + 0.65*Assumptions!$C$19), 2)</f>
        <v/>
      </c>
      <c r="P12" s="5">
        <f>ROUND(P7*(0.35*Assumptions!$C$18 + 0.65*Assumptions!$C$19), 2)</f>
        <v/>
      </c>
      <c r="Q12" s="5">
        <f>ROUND(Q7*(0.35*Assumptions!$C$18 + 0.65*Assumptions!$C$19), 2)</f>
        <v/>
      </c>
      <c r="R12" s="5">
        <f>ROUND(R7*(0.35*Assumptions!$C$18 + 0.65*Assumptions!$C$19), 2)</f>
        <v/>
      </c>
      <c r="S12" s="5">
        <f>ROUND(S7*(0.35*Assumptions!$C$18 + 0.65*Assumptions!$C$19), 2)</f>
        <v/>
      </c>
      <c r="T12" s="5">
        <f>ROUND(T7*(0.35*Assumptions!$C$18 + 0.65*Assumptions!$C$19), 2)</f>
        <v/>
      </c>
      <c r="U12" s="5">
        <f>ROUND(U7*(0.35*Assumptions!$C$18 + 0.65*Assumptions!$C$19), 2)</f>
        <v/>
      </c>
      <c r="V12" s="5">
        <f>ROUND(V7*(0.35*Assumptions!$C$18 + 0.65*Assumptions!$C$19), 2)</f>
        <v/>
      </c>
      <c r="W12" s="5">
        <f>ROUND(W7*(0.35*Assumptions!$C$18 + 0.65*Assumptions!$C$19), 2)</f>
        <v/>
      </c>
      <c r="X12" s="5">
        <f>ROUND(X7*(0.35*Assumptions!$C$18 + 0.65*Assumptions!$C$19), 2)</f>
        <v/>
      </c>
      <c r="Y12" s="5">
        <f>ROUND(Y7*(0.35*Assumptions!$C$18 + 0.65*Assumptions!$C$19), 2)</f>
        <v/>
      </c>
    </row>
    <row r="13">
      <c r="A13" s="3" t="inlineStr">
        <is>
          <t>AWS Lambda Attestation &amp; Worktree Sandbox COGS</t>
        </is>
      </c>
      <c r="B13" s="5">
        <f>ROUND(B7*(Assumptions!$C$20 + 0.002), 2)</f>
        <v/>
      </c>
      <c r="C13" s="5">
        <f>ROUND(C7*(Assumptions!$C$20 + 0.002), 2)</f>
        <v/>
      </c>
      <c r="D13" s="5">
        <f>ROUND(D7*(Assumptions!$C$20 + 0.002), 2)</f>
        <v/>
      </c>
      <c r="E13" s="5">
        <f>ROUND(E7*(Assumptions!$C$20 + 0.002), 2)</f>
        <v/>
      </c>
      <c r="F13" s="5">
        <f>ROUND(F7*(Assumptions!$C$20 + 0.002), 2)</f>
        <v/>
      </c>
      <c r="G13" s="5">
        <f>ROUND(G7*(Assumptions!$C$20 + 0.002), 2)</f>
        <v/>
      </c>
      <c r="H13" s="5">
        <f>ROUND(H7*(Assumptions!$C$20 + 0.002), 2)</f>
        <v/>
      </c>
      <c r="I13" s="5">
        <f>ROUND(I7*(Assumptions!$C$20 + 0.002), 2)</f>
        <v/>
      </c>
      <c r="J13" s="5">
        <f>ROUND(J7*(Assumptions!$C$20 + 0.002), 2)</f>
        <v/>
      </c>
      <c r="K13" s="5">
        <f>ROUND(K7*(Assumptions!$C$20 + 0.002), 2)</f>
        <v/>
      </c>
      <c r="L13" s="5">
        <f>ROUND(L7*(Assumptions!$C$20 + 0.002), 2)</f>
        <v/>
      </c>
      <c r="M13" s="5">
        <f>ROUND(M7*(Assumptions!$C$20 + 0.002), 2)</f>
        <v/>
      </c>
      <c r="N13" s="5">
        <f>ROUND(N7*(Assumptions!$C$20 + 0.002), 2)</f>
        <v/>
      </c>
      <c r="O13" s="5">
        <f>ROUND(O7*(Assumptions!$C$20 + 0.002), 2)</f>
        <v/>
      </c>
      <c r="P13" s="5">
        <f>ROUND(P7*(Assumptions!$C$20 + 0.002), 2)</f>
        <v/>
      </c>
      <c r="Q13" s="5">
        <f>ROUND(Q7*(Assumptions!$C$20 + 0.002), 2)</f>
        <v/>
      </c>
      <c r="R13" s="5">
        <f>ROUND(R7*(Assumptions!$C$20 + 0.002), 2)</f>
        <v/>
      </c>
      <c r="S13" s="5">
        <f>ROUND(S7*(Assumptions!$C$20 + 0.002), 2)</f>
        <v/>
      </c>
      <c r="T13" s="5">
        <f>ROUND(T7*(Assumptions!$C$20 + 0.002), 2)</f>
        <v/>
      </c>
      <c r="U13" s="5">
        <f>ROUND(U7*(Assumptions!$C$20 + 0.002), 2)</f>
        <v/>
      </c>
      <c r="V13" s="5">
        <f>ROUND(V7*(Assumptions!$C$20 + 0.002), 2)</f>
        <v/>
      </c>
      <c r="W13" s="5">
        <f>ROUND(W7*(Assumptions!$C$20 + 0.002), 2)</f>
        <v/>
      </c>
      <c r="X13" s="5">
        <f>ROUND(X7*(Assumptions!$C$20 + 0.002), 2)</f>
        <v/>
      </c>
      <c r="Y13" s="5">
        <f>ROUND(Y7*(Assumptions!$C$20 + 0.002), 2)</f>
        <v/>
      </c>
    </row>
    <row r="14">
      <c r="A14" s="3" t="inlineStr">
        <is>
          <t>Dodo Payments Merchant-of-Record Fees (3.9% + $0.40)</t>
        </is>
      </c>
      <c r="B14" s="5">
        <f>ROUND(B10*Assumptions!$C$11 + B6*Assumptions!$C$12, 2)</f>
        <v/>
      </c>
      <c r="C14" s="5">
        <f>ROUND(C10*Assumptions!$C$11 + C6*Assumptions!$C$12, 2)</f>
        <v/>
      </c>
      <c r="D14" s="5">
        <f>ROUND(D10*Assumptions!$C$11 + D6*Assumptions!$C$12, 2)</f>
        <v/>
      </c>
      <c r="E14" s="5">
        <f>ROUND(E10*Assumptions!$C$11 + E6*Assumptions!$C$12, 2)</f>
        <v/>
      </c>
      <c r="F14" s="5">
        <f>ROUND(F10*Assumptions!$C$11 + F6*Assumptions!$C$12, 2)</f>
        <v/>
      </c>
      <c r="G14" s="5">
        <f>ROUND(G10*Assumptions!$C$11 + G6*Assumptions!$C$12, 2)</f>
        <v/>
      </c>
      <c r="H14" s="5">
        <f>ROUND(H10*Assumptions!$C$11 + H6*Assumptions!$C$12, 2)</f>
        <v/>
      </c>
      <c r="I14" s="5">
        <f>ROUND(I10*Assumptions!$C$11 + I6*Assumptions!$C$12, 2)</f>
        <v/>
      </c>
      <c r="J14" s="5">
        <f>ROUND(J10*Assumptions!$C$11 + J6*Assumptions!$C$12, 2)</f>
        <v/>
      </c>
      <c r="K14" s="5">
        <f>ROUND(K10*Assumptions!$C$11 + K6*Assumptions!$C$12, 2)</f>
        <v/>
      </c>
      <c r="L14" s="5">
        <f>ROUND(L10*Assumptions!$C$11 + L6*Assumptions!$C$12, 2)</f>
        <v/>
      </c>
      <c r="M14" s="5">
        <f>ROUND(M10*Assumptions!$C$11 + M6*Assumptions!$C$12, 2)</f>
        <v/>
      </c>
      <c r="N14" s="5">
        <f>ROUND(N10*Assumptions!$C$11 + N6*Assumptions!$C$12, 2)</f>
        <v/>
      </c>
      <c r="O14" s="5">
        <f>ROUND(O10*Assumptions!$C$11 + O6*Assumptions!$C$12, 2)</f>
        <v/>
      </c>
      <c r="P14" s="5">
        <f>ROUND(P10*Assumptions!$C$11 + P6*Assumptions!$C$12, 2)</f>
        <v/>
      </c>
      <c r="Q14" s="5">
        <f>ROUND(Q10*Assumptions!$C$11 + Q6*Assumptions!$C$12, 2)</f>
        <v/>
      </c>
      <c r="R14" s="5">
        <f>ROUND(R10*Assumptions!$C$11 + R6*Assumptions!$C$12, 2)</f>
        <v/>
      </c>
      <c r="S14" s="5">
        <f>ROUND(S10*Assumptions!$C$11 + S6*Assumptions!$C$12, 2)</f>
        <v/>
      </c>
      <c r="T14" s="5">
        <f>ROUND(T10*Assumptions!$C$11 + T6*Assumptions!$C$12, 2)</f>
        <v/>
      </c>
      <c r="U14" s="5">
        <f>ROUND(U10*Assumptions!$C$11 + U6*Assumptions!$C$12, 2)</f>
        <v/>
      </c>
      <c r="V14" s="5">
        <f>ROUND(V10*Assumptions!$C$11 + V6*Assumptions!$C$12, 2)</f>
        <v/>
      </c>
      <c r="W14" s="5">
        <f>ROUND(W10*Assumptions!$C$11 + W6*Assumptions!$C$12, 2)</f>
        <v/>
      </c>
      <c r="X14" s="5">
        <f>ROUND(X10*Assumptions!$C$11 + X6*Assumptions!$C$12, 2)</f>
        <v/>
      </c>
      <c r="Y14" s="5">
        <f>ROUND(Y10*Assumptions!$C$11 + Y6*Assumptions!$C$12, 2)</f>
        <v/>
      </c>
    </row>
    <row r="15">
      <c r="A15" s="21" t="inlineStr">
        <is>
          <t>Total Cost of Goods Sold (COGS)</t>
        </is>
      </c>
      <c r="B15" s="23">
        <f>SUM(B12:B14)</f>
        <v/>
      </c>
      <c r="C15" s="23">
        <f>SUM(C12:C14)</f>
        <v/>
      </c>
      <c r="D15" s="23">
        <f>SUM(D12:D14)</f>
        <v/>
      </c>
      <c r="E15" s="23">
        <f>SUM(E12:E14)</f>
        <v/>
      </c>
      <c r="F15" s="23">
        <f>SUM(F12:F14)</f>
        <v/>
      </c>
      <c r="G15" s="23">
        <f>SUM(G12:G14)</f>
        <v/>
      </c>
      <c r="H15" s="23">
        <f>SUM(H12:H14)</f>
        <v/>
      </c>
      <c r="I15" s="23">
        <f>SUM(I12:I14)</f>
        <v/>
      </c>
      <c r="J15" s="23">
        <f>SUM(J12:J14)</f>
        <v/>
      </c>
      <c r="K15" s="23">
        <f>SUM(K12:K14)</f>
        <v/>
      </c>
      <c r="L15" s="23">
        <f>SUM(L12:L14)</f>
        <v/>
      </c>
      <c r="M15" s="23">
        <f>SUM(M12:M14)</f>
        <v/>
      </c>
      <c r="N15" s="23">
        <f>SUM(N12:N14)</f>
        <v/>
      </c>
      <c r="O15" s="23">
        <f>SUM(O12:O14)</f>
        <v/>
      </c>
      <c r="P15" s="23">
        <f>SUM(P12:P14)</f>
        <v/>
      </c>
      <c r="Q15" s="23">
        <f>SUM(Q12:Q14)</f>
        <v/>
      </c>
      <c r="R15" s="23">
        <f>SUM(R12:R14)</f>
        <v/>
      </c>
      <c r="S15" s="23">
        <f>SUM(S12:S14)</f>
        <v/>
      </c>
      <c r="T15" s="23">
        <f>SUM(T12:T14)</f>
        <v/>
      </c>
      <c r="U15" s="23">
        <f>SUM(U12:U14)</f>
        <v/>
      </c>
      <c r="V15" s="23">
        <f>SUM(V12:V14)</f>
        <v/>
      </c>
      <c r="W15" s="23">
        <f>SUM(W12:W14)</f>
        <v/>
      </c>
      <c r="X15" s="23">
        <f>SUM(X12:X14)</f>
        <v/>
      </c>
      <c r="Y15" s="23">
        <f>SUM(Y12:Y14)</f>
        <v/>
      </c>
    </row>
    <row r="16">
      <c r="A16" s="6" t="inlineStr">
        <is>
          <t>Gross Profit ($)</t>
        </is>
      </c>
      <c r="B16" s="8">
        <f>B10-B15</f>
        <v/>
      </c>
      <c r="C16" s="8">
        <f>C10-C15</f>
        <v/>
      </c>
      <c r="D16" s="8">
        <f>D10-D15</f>
        <v/>
      </c>
      <c r="E16" s="8">
        <f>E10-E15</f>
        <v/>
      </c>
      <c r="F16" s="8">
        <f>F10-F15</f>
        <v/>
      </c>
      <c r="G16" s="8">
        <f>G10-G15</f>
        <v/>
      </c>
      <c r="H16" s="8">
        <f>H10-H15</f>
        <v/>
      </c>
      <c r="I16" s="8">
        <f>I10-I15</f>
        <v/>
      </c>
      <c r="J16" s="8">
        <f>J10-J15</f>
        <v/>
      </c>
      <c r="K16" s="8">
        <f>K10-K15</f>
        <v/>
      </c>
      <c r="L16" s="8">
        <f>L10-L15</f>
        <v/>
      </c>
      <c r="M16" s="8">
        <f>M10-M15</f>
        <v/>
      </c>
      <c r="N16" s="8">
        <f>N10-N15</f>
        <v/>
      </c>
      <c r="O16" s="8">
        <f>O10-O15</f>
        <v/>
      </c>
      <c r="P16" s="8">
        <f>P10-P15</f>
        <v/>
      </c>
      <c r="Q16" s="8">
        <f>Q10-Q15</f>
        <v/>
      </c>
      <c r="R16" s="8">
        <f>R10-R15</f>
        <v/>
      </c>
      <c r="S16" s="8">
        <f>S10-S15</f>
        <v/>
      </c>
      <c r="T16" s="8">
        <f>T10-T15</f>
        <v/>
      </c>
      <c r="U16" s="8">
        <f>U10-U15</f>
        <v/>
      </c>
      <c r="V16" s="8">
        <f>V10-V15</f>
        <v/>
      </c>
      <c r="W16" s="8">
        <f>W10-W15</f>
        <v/>
      </c>
      <c r="X16" s="8">
        <f>X10-X15</f>
        <v/>
      </c>
      <c r="Y16" s="8">
        <f>Y10-Y15</f>
        <v/>
      </c>
    </row>
    <row r="17">
      <c r="A17" s="6" t="inlineStr">
        <is>
          <t>Gross Margin (%)</t>
        </is>
      </c>
      <c r="B17" s="7">
        <f>IF(B10&gt;0, B16/B10, 0)</f>
        <v/>
      </c>
      <c r="C17" s="7">
        <f>IF(C10&gt;0, C16/C10, 0)</f>
        <v/>
      </c>
      <c r="D17" s="7">
        <f>IF(D10&gt;0, D16/D10, 0)</f>
        <v/>
      </c>
      <c r="E17" s="7">
        <f>IF(E10&gt;0, E16/E10, 0)</f>
        <v/>
      </c>
      <c r="F17" s="7">
        <f>IF(F10&gt;0, F16/F10, 0)</f>
        <v/>
      </c>
      <c r="G17" s="7">
        <f>IF(G10&gt;0, G16/G10, 0)</f>
        <v/>
      </c>
      <c r="H17" s="7">
        <f>IF(H10&gt;0, H16/H10, 0)</f>
        <v/>
      </c>
      <c r="I17" s="7">
        <f>IF(I10&gt;0, I16/I10, 0)</f>
        <v/>
      </c>
      <c r="J17" s="7">
        <f>IF(J10&gt;0, J16/J10, 0)</f>
        <v/>
      </c>
      <c r="K17" s="7">
        <f>IF(K10&gt;0, K16/K10, 0)</f>
        <v/>
      </c>
      <c r="L17" s="7">
        <f>IF(L10&gt;0, L16/L10, 0)</f>
        <v/>
      </c>
      <c r="M17" s="7">
        <f>IF(M10&gt;0, M16/M10, 0)</f>
        <v/>
      </c>
      <c r="N17" s="7">
        <f>IF(N10&gt;0, N16/N10, 0)</f>
        <v/>
      </c>
      <c r="O17" s="7">
        <f>IF(O10&gt;0, O16/O10, 0)</f>
        <v/>
      </c>
      <c r="P17" s="7">
        <f>IF(P10&gt;0, P16/P10, 0)</f>
        <v/>
      </c>
      <c r="Q17" s="7">
        <f>IF(Q10&gt;0, Q16/Q10, 0)</f>
        <v/>
      </c>
      <c r="R17" s="7">
        <f>IF(R10&gt;0, R16/R10, 0)</f>
        <v/>
      </c>
      <c r="S17" s="7">
        <f>IF(S10&gt;0, S16/S10, 0)</f>
        <v/>
      </c>
      <c r="T17" s="7">
        <f>IF(T10&gt;0, T16/T10, 0)</f>
        <v/>
      </c>
      <c r="U17" s="7">
        <f>IF(U10&gt;0, U16/U10, 0)</f>
        <v/>
      </c>
      <c r="V17" s="7">
        <f>IF(V10&gt;0, V16/V10, 0)</f>
        <v/>
      </c>
      <c r="W17" s="7">
        <f>IF(W10&gt;0, W16/W10, 0)</f>
        <v/>
      </c>
      <c r="X17" s="7">
        <f>IF(X10&gt;0, X16/X10, 0)</f>
        <v/>
      </c>
      <c r="Y17" s="7">
        <f>IF(Y10&gt;0, Y16/Y10, 0)</f>
        <v/>
      </c>
    </row>
    <row r="18">
      <c r="A18" s="3" t="inlineStr">
        <is>
          <t>Core Engineering &amp; Operations Payroll</t>
        </is>
      </c>
      <c r="B18" s="5">
        <f>Assumptions!$C$21 + IF(1&gt;6, 6500, 0) + IF(1&gt;12, 9000, 0) + IF(1&gt;18, 12000, 0)</f>
        <v/>
      </c>
      <c r="C18" s="5">
        <f>Assumptions!$C$21 + IF(2&gt;6, 6500, 0) + IF(2&gt;12, 9000, 0) + IF(2&gt;18, 12000, 0)</f>
        <v/>
      </c>
      <c r="D18" s="5">
        <f>Assumptions!$C$21 + IF(3&gt;6, 6500, 0) + IF(3&gt;12, 9000, 0) + IF(3&gt;18, 12000, 0)</f>
        <v/>
      </c>
      <c r="E18" s="5">
        <f>Assumptions!$C$21 + IF(4&gt;6, 6500, 0) + IF(4&gt;12, 9000, 0) + IF(4&gt;18, 12000, 0)</f>
        <v/>
      </c>
      <c r="F18" s="5">
        <f>Assumptions!$C$21 + IF(5&gt;6, 6500, 0) + IF(5&gt;12, 9000, 0) + IF(5&gt;18, 12000, 0)</f>
        <v/>
      </c>
      <c r="G18" s="5">
        <f>Assumptions!$C$21 + IF(6&gt;6, 6500, 0) + IF(6&gt;12, 9000, 0) + IF(6&gt;18, 12000, 0)</f>
        <v/>
      </c>
      <c r="H18" s="5">
        <f>Assumptions!$C$21 + IF(7&gt;6, 6500, 0) + IF(7&gt;12, 9000, 0) + IF(7&gt;18, 12000, 0)</f>
        <v/>
      </c>
      <c r="I18" s="5">
        <f>Assumptions!$C$21 + IF(8&gt;6, 6500, 0) + IF(8&gt;12, 9000, 0) + IF(8&gt;18, 12000, 0)</f>
        <v/>
      </c>
      <c r="J18" s="5">
        <f>Assumptions!$C$21 + IF(9&gt;6, 6500, 0) + IF(9&gt;12, 9000, 0) + IF(9&gt;18, 12000, 0)</f>
        <v/>
      </c>
      <c r="K18" s="5">
        <f>Assumptions!$C$21 + IF(10&gt;6, 6500, 0) + IF(10&gt;12, 9000, 0) + IF(10&gt;18, 12000, 0)</f>
        <v/>
      </c>
      <c r="L18" s="5">
        <f>Assumptions!$C$21 + IF(11&gt;6, 6500, 0) + IF(11&gt;12, 9000, 0) + IF(11&gt;18, 12000, 0)</f>
        <v/>
      </c>
      <c r="M18" s="5">
        <f>Assumptions!$C$21 + IF(12&gt;6, 6500, 0) + IF(12&gt;12, 9000, 0) + IF(12&gt;18, 12000, 0)</f>
        <v/>
      </c>
      <c r="N18" s="5">
        <f>Assumptions!$C$21 + IF(13&gt;6, 6500, 0) + IF(13&gt;12, 9000, 0) + IF(13&gt;18, 12000, 0)</f>
        <v/>
      </c>
      <c r="O18" s="5">
        <f>Assumptions!$C$21 + IF(14&gt;6, 6500, 0) + IF(14&gt;12, 9000, 0) + IF(14&gt;18, 12000, 0)</f>
        <v/>
      </c>
      <c r="P18" s="5">
        <f>Assumptions!$C$21 + IF(15&gt;6, 6500, 0) + IF(15&gt;12, 9000, 0) + IF(15&gt;18, 12000, 0)</f>
        <v/>
      </c>
      <c r="Q18" s="5">
        <f>Assumptions!$C$21 + IF(16&gt;6, 6500, 0) + IF(16&gt;12, 9000, 0) + IF(16&gt;18, 12000, 0)</f>
        <v/>
      </c>
      <c r="R18" s="5">
        <f>Assumptions!$C$21 + IF(17&gt;6, 6500, 0) + IF(17&gt;12, 9000, 0) + IF(17&gt;18, 12000, 0)</f>
        <v/>
      </c>
      <c r="S18" s="5">
        <f>Assumptions!$C$21 + IF(18&gt;6, 6500, 0) + IF(18&gt;12, 9000, 0) + IF(18&gt;18, 12000, 0)</f>
        <v/>
      </c>
      <c r="T18" s="5">
        <f>Assumptions!$C$21 + IF(19&gt;6, 6500, 0) + IF(19&gt;12, 9000, 0) + IF(19&gt;18, 12000, 0)</f>
        <v/>
      </c>
      <c r="U18" s="5">
        <f>Assumptions!$C$21 + IF(20&gt;6, 6500, 0) + IF(20&gt;12, 9000, 0) + IF(20&gt;18, 12000, 0)</f>
        <v/>
      </c>
      <c r="V18" s="5">
        <f>Assumptions!$C$21 + IF(21&gt;6, 6500, 0) + IF(21&gt;12, 9000, 0) + IF(21&gt;18, 12000, 0)</f>
        <v/>
      </c>
      <c r="W18" s="5">
        <f>Assumptions!$C$21 + IF(22&gt;6, 6500, 0) + IF(22&gt;12, 9000, 0) + IF(22&gt;18, 12000, 0)</f>
        <v/>
      </c>
      <c r="X18" s="5">
        <f>Assumptions!$C$21 + IF(23&gt;6, 6500, 0) + IF(23&gt;12, 9000, 0) + IF(23&gt;18, 12000, 0)</f>
        <v/>
      </c>
      <c r="Y18" s="5">
        <f>Assumptions!$C$21 + IF(24&gt;6, 6500, 0) + IF(24&gt;12, 9000, 0) + IF(24&gt;18, 12000, 0)</f>
        <v/>
      </c>
    </row>
    <row r="19">
      <c r="A19" s="3" t="inlineStr">
        <is>
          <t>Fixed Cloud, Neatlogs Pro &amp; Entire Infrastructure</t>
        </is>
      </c>
      <c r="B19" s="5">
        <f>Assumptions!$C$22 + ROUND(B6*4.5, 0)</f>
        <v/>
      </c>
      <c r="C19" s="5">
        <f>Assumptions!$C$22 + ROUND(C6*4.5, 0)</f>
        <v/>
      </c>
      <c r="D19" s="5">
        <f>Assumptions!$C$22 + ROUND(D6*4.5, 0)</f>
        <v/>
      </c>
      <c r="E19" s="5">
        <f>Assumptions!$C$22 + ROUND(E6*4.5, 0)</f>
        <v/>
      </c>
      <c r="F19" s="5">
        <f>Assumptions!$C$22 + ROUND(F6*4.5, 0)</f>
        <v/>
      </c>
      <c r="G19" s="5">
        <f>Assumptions!$C$22 + ROUND(G6*4.5, 0)</f>
        <v/>
      </c>
      <c r="H19" s="5">
        <f>Assumptions!$C$22 + ROUND(H6*4.5, 0)</f>
        <v/>
      </c>
      <c r="I19" s="5">
        <f>Assumptions!$C$22 + ROUND(I6*4.5, 0)</f>
        <v/>
      </c>
      <c r="J19" s="5">
        <f>Assumptions!$C$22 + ROUND(J6*4.5, 0)</f>
        <v/>
      </c>
      <c r="K19" s="5">
        <f>Assumptions!$C$22 + ROUND(K6*4.5, 0)</f>
        <v/>
      </c>
      <c r="L19" s="5">
        <f>Assumptions!$C$22 + ROUND(L6*4.5, 0)</f>
        <v/>
      </c>
      <c r="M19" s="5">
        <f>Assumptions!$C$22 + ROUND(M6*4.5, 0)</f>
        <v/>
      </c>
      <c r="N19" s="5">
        <f>Assumptions!$C$22 + ROUND(N6*4.5, 0)</f>
        <v/>
      </c>
      <c r="O19" s="5">
        <f>Assumptions!$C$22 + ROUND(O6*4.5, 0)</f>
        <v/>
      </c>
      <c r="P19" s="5">
        <f>Assumptions!$C$22 + ROUND(P6*4.5, 0)</f>
        <v/>
      </c>
      <c r="Q19" s="5">
        <f>Assumptions!$C$22 + ROUND(Q6*4.5, 0)</f>
        <v/>
      </c>
      <c r="R19" s="5">
        <f>Assumptions!$C$22 + ROUND(R6*4.5, 0)</f>
        <v/>
      </c>
      <c r="S19" s="5">
        <f>Assumptions!$C$22 + ROUND(S6*4.5, 0)</f>
        <v/>
      </c>
      <c r="T19" s="5">
        <f>Assumptions!$C$22 + ROUND(T6*4.5, 0)</f>
        <v/>
      </c>
      <c r="U19" s="5">
        <f>Assumptions!$C$22 + ROUND(U6*4.5, 0)</f>
        <v/>
      </c>
      <c r="V19" s="5">
        <f>Assumptions!$C$22 + ROUND(V6*4.5, 0)</f>
        <v/>
      </c>
      <c r="W19" s="5">
        <f>Assumptions!$C$22 + ROUND(W6*4.5, 0)</f>
        <v/>
      </c>
      <c r="X19" s="5">
        <f>Assumptions!$C$22 + ROUND(X6*4.5, 0)</f>
        <v/>
      </c>
      <c r="Y19" s="5">
        <f>Assumptions!$C$22 + ROUND(Y6*4.5, 0)</f>
        <v/>
      </c>
    </row>
    <row r="20">
      <c r="A20" s="3" t="inlineStr">
        <is>
          <t>PLG, DevRel &amp; Open-Source Growth Marketing</t>
        </is>
      </c>
      <c r="B20" s="5">
        <f>Assumptions!$C$23 + ROUND(B10*0.08, 0)</f>
        <v/>
      </c>
      <c r="C20" s="5">
        <f>Assumptions!$C$23 + ROUND(C10*0.08, 0)</f>
        <v/>
      </c>
      <c r="D20" s="5">
        <f>Assumptions!$C$23 + ROUND(D10*0.08, 0)</f>
        <v/>
      </c>
      <c r="E20" s="5">
        <f>Assumptions!$C$23 + ROUND(E10*0.08, 0)</f>
        <v/>
      </c>
      <c r="F20" s="5">
        <f>Assumptions!$C$23 + ROUND(F10*0.08, 0)</f>
        <v/>
      </c>
      <c r="G20" s="5">
        <f>Assumptions!$C$23 + ROUND(G10*0.08, 0)</f>
        <v/>
      </c>
      <c r="H20" s="5">
        <f>Assumptions!$C$23 + ROUND(H10*0.08, 0)</f>
        <v/>
      </c>
      <c r="I20" s="5">
        <f>Assumptions!$C$23 + ROUND(I10*0.08, 0)</f>
        <v/>
      </c>
      <c r="J20" s="5">
        <f>Assumptions!$C$23 + ROUND(J10*0.08, 0)</f>
        <v/>
      </c>
      <c r="K20" s="5">
        <f>Assumptions!$C$23 + ROUND(K10*0.08, 0)</f>
        <v/>
      </c>
      <c r="L20" s="5">
        <f>Assumptions!$C$23 + ROUND(L10*0.08, 0)</f>
        <v/>
      </c>
      <c r="M20" s="5">
        <f>Assumptions!$C$23 + ROUND(M10*0.08, 0)</f>
        <v/>
      </c>
      <c r="N20" s="5">
        <f>Assumptions!$C$23 + ROUND(N10*0.08, 0)</f>
        <v/>
      </c>
      <c r="O20" s="5">
        <f>Assumptions!$C$23 + ROUND(O10*0.08, 0)</f>
        <v/>
      </c>
      <c r="P20" s="5">
        <f>Assumptions!$C$23 + ROUND(P10*0.08, 0)</f>
        <v/>
      </c>
      <c r="Q20" s="5">
        <f>Assumptions!$C$23 + ROUND(Q10*0.08, 0)</f>
        <v/>
      </c>
      <c r="R20" s="5">
        <f>Assumptions!$C$23 + ROUND(R10*0.08, 0)</f>
        <v/>
      </c>
      <c r="S20" s="5">
        <f>Assumptions!$C$23 + ROUND(S10*0.08, 0)</f>
        <v/>
      </c>
      <c r="T20" s="5">
        <f>Assumptions!$C$23 + ROUND(T10*0.08, 0)</f>
        <v/>
      </c>
      <c r="U20" s="5">
        <f>Assumptions!$C$23 + ROUND(U10*0.08, 0)</f>
        <v/>
      </c>
      <c r="V20" s="5">
        <f>Assumptions!$C$23 + ROUND(V10*0.08, 0)</f>
        <v/>
      </c>
      <c r="W20" s="5">
        <f>Assumptions!$C$23 + ROUND(W10*0.08, 0)</f>
        <v/>
      </c>
      <c r="X20" s="5">
        <f>Assumptions!$C$23 + ROUND(X10*0.08, 0)</f>
        <v/>
      </c>
      <c r="Y20" s="5">
        <f>Assumptions!$C$23 + ROUND(Y10*0.08, 0)</f>
        <v/>
      </c>
    </row>
    <row r="21">
      <c r="A21" s="21" t="inlineStr">
        <is>
          <t>Total Operating Expenses (OpEx)</t>
        </is>
      </c>
      <c r="B21" s="23">
        <f>SUM(B18:B20)</f>
        <v/>
      </c>
      <c r="C21" s="23">
        <f>SUM(C18:C20)</f>
        <v/>
      </c>
      <c r="D21" s="23">
        <f>SUM(D18:D20)</f>
        <v/>
      </c>
      <c r="E21" s="23">
        <f>SUM(E18:E20)</f>
        <v/>
      </c>
      <c r="F21" s="23">
        <f>SUM(F18:F20)</f>
        <v/>
      </c>
      <c r="G21" s="23">
        <f>SUM(G18:G20)</f>
        <v/>
      </c>
      <c r="H21" s="23">
        <f>SUM(H18:H20)</f>
        <v/>
      </c>
      <c r="I21" s="23">
        <f>SUM(I18:I20)</f>
        <v/>
      </c>
      <c r="J21" s="23">
        <f>SUM(J18:J20)</f>
        <v/>
      </c>
      <c r="K21" s="23">
        <f>SUM(K18:K20)</f>
        <v/>
      </c>
      <c r="L21" s="23">
        <f>SUM(L18:L20)</f>
        <v/>
      </c>
      <c r="M21" s="23">
        <f>SUM(M18:M20)</f>
        <v/>
      </c>
      <c r="N21" s="23">
        <f>SUM(N18:N20)</f>
        <v/>
      </c>
      <c r="O21" s="23">
        <f>SUM(O18:O20)</f>
        <v/>
      </c>
      <c r="P21" s="23">
        <f>SUM(P18:P20)</f>
        <v/>
      </c>
      <c r="Q21" s="23">
        <f>SUM(Q18:Q20)</f>
        <v/>
      </c>
      <c r="R21" s="23">
        <f>SUM(R18:R20)</f>
        <v/>
      </c>
      <c r="S21" s="23">
        <f>SUM(S18:S20)</f>
        <v/>
      </c>
      <c r="T21" s="23">
        <f>SUM(T18:T20)</f>
        <v/>
      </c>
      <c r="U21" s="23">
        <f>SUM(U18:U20)</f>
        <v/>
      </c>
      <c r="V21" s="23">
        <f>SUM(V18:V20)</f>
        <v/>
      </c>
      <c r="W21" s="23">
        <f>SUM(W18:W20)</f>
        <v/>
      </c>
      <c r="X21" s="23">
        <f>SUM(X18:X20)</f>
        <v/>
      </c>
      <c r="Y21" s="23">
        <f>SUM(Y18:Y20)</f>
        <v/>
      </c>
    </row>
    <row r="22">
      <c r="A22" s="21" t="inlineStr">
        <is>
          <t>EBITDA / Net Monthly Operating Cash Flow</t>
        </is>
      </c>
      <c r="B22" s="23">
        <f>B16-B21</f>
        <v/>
      </c>
      <c r="C22" s="23">
        <f>C16-C21</f>
        <v/>
      </c>
      <c r="D22" s="23">
        <f>D16-D21</f>
        <v/>
      </c>
      <c r="E22" s="23">
        <f>E16-E21</f>
        <v/>
      </c>
      <c r="F22" s="23">
        <f>F16-F21</f>
        <v/>
      </c>
      <c r="G22" s="23">
        <f>G16-G21</f>
        <v/>
      </c>
      <c r="H22" s="23">
        <f>H16-H21</f>
        <v/>
      </c>
      <c r="I22" s="23">
        <f>I16-I21</f>
        <v/>
      </c>
      <c r="J22" s="23">
        <f>J16-J21</f>
        <v/>
      </c>
      <c r="K22" s="23">
        <f>K16-K21</f>
        <v/>
      </c>
      <c r="L22" s="23">
        <f>L16-L21</f>
        <v/>
      </c>
      <c r="M22" s="23">
        <f>M16-M21</f>
        <v/>
      </c>
      <c r="N22" s="23">
        <f>N16-N21</f>
        <v/>
      </c>
      <c r="O22" s="23">
        <f>O16-O21</f>
        <v/>
      </c>
      <c r="P22" s="23">
        <f>P16-P21</f>
        <v/>
      </c>
      <c r="Q22" s="23">
        <f>Q16-Q21</f>
        <v/>
      </c>
      <c r="R22" s="23">
        <f>R16-R21</f>
        <v/>
      </c>
      <c r="S22" s="23">
        <f>S16-S21</f>
        <v/>
      </c>
      <c r="T22" s="23">
        <f>T16-T21</f>
        <v/>
      </c>
      <c r="U22" s="23">
        <f>U16-U21</f>
        <v/>
      </c>
      <c r="V22" s="23">
        <f>V16-V21</f>
        <v/>
      </c>
      <c r="W22" s="23">
        <f>W16-W21</f>
        <v/>
      </c>
      <c r="X22" s="23">
        <f>X16-X21</f>
        <v/>
      </c>
      <c r="Y22" s="23">
        <f>Y16-Y21</f>
        <v/>
      </c>
    </row>
    <row r="23">
      <c r="A23" s="6" t="inlineStr">
        <is>
          <t>Ending Cash Balance ($)</t>
        </is>
      </c>
      <c r="B23" s="8">
        <f>Assumptions!$C$3+B22</f>
        <v/>
      </c>
      <c r="C23" s="8">
        <f>B23+C22</f>
        <v/>
      </c>
      <c r="D23" s="8">
        <f>C23+D22</f>
        <v/>
      </c>
      <c r="E23" s="8">
        <f>D23+E22</f>
        <v/>
      </c>
      <c r="F23" s="8">
        <f>E23+F22</f>
        <v/>
      </c>
      <c r="G23" s="8">
        <f>F23+G22</f>
        <v/>
      </c>
      <c r="H23" s="8">
        <f>G23+H22</f>
        <v/>
      </c>
      <c r="I23" s="8">
        <f>H23+I22</f>
        <v/>
      </c>
      <c r="J23" s="8">
        <f>I23+J22</f>
        <v/>
      </c>
      <c r="K23" s="8">
        <f>J23+K22</f>
        <v/>
      </c>
      <c r="L23" s="8">
        <f>K23+L22</f>
        <v/>
      </c>
      <c r="M23" s="8">
        <f>L23+M22</f>
        <v/>
      </c>
      <c r="N23" s="8">
        <f>M23+N22</f>
        <v/>
      </c>
      <c r="O23" s="8">
        <f>N23+O22</f>
        <v/>
      </c>
      <c r="P23" s="8">
        <f>O23+P22</f>
        <v/>
      </c>
      <c r="Q23" s="8">
        <f>P23+Q22</f>
        <v/>
      </c>
      <c r="R23" s="8">
        <f>Q23+R22</f>
        <v/>
      </c>
      <c r="S23" s="8">
        <f>R23+S22</f>
        <v/>
      </c>
      <c r="T23" s="8">
        <f>S23+T22</f>
        <v/>
      </c>
      <c r="U23" s="8">
        <f>T23+U22</f>
        <v/>
      </c>
      <c r="V23" s="8">
        <f>U23+V22</f>
        <v/>
      </c>
      <c r="W23" s="8">
        <f>V23+W22</f>
        <v/>
      </c>
      <c r="X23" s="8">
        <f>W23+X22</f>
        <v/>
      </c>
      <c r="Y23" s="8">
        <f>X23+Y22</f>
        <v/>
      </c>
    </row>
    <row r="24">
      <c r="A24" s="3" t="inlineStr">
        <is>
          <t>Counterfactual v1 Unoptimized COGS (Without entire-graph)</t>
        </is>
      </c>
      <c r="B24" s="5">
        <f>ROUND(B7*(0.35*Assumptions!$C$17 + 0.65*(Assumptions!$C$19*2.95)), 2)</f>
        <v/>
      </c>
      <c r="C24" s="5">
        <f>ROUND(C7*(0.35*Assumptions!$C$17 + 0.65*(Assumptions!$C$19*2.95)), 2)</f>
        <v/>
      </c>
      <c r="D24" s="5">
        <f>ROUND(D7*(0.35*Assumptions!$C$17 + 0.65*(Assumptions!$C$19*2.95)), 2)</f>
        <v/>
      </c>
      <c r="E24" s="5">
        <f>ROUND(E7*(0.35*Assumptions!$C$17 + 0.65*(Assumptions!$C$19*2.95)), 2)</f>
        <v/>
      </c>
      <c r="F24" s="5">
        <f>ROUND(F7*(0.35*Assumptions!$C$17 + 0.65*(Assumptions!$C$19*2.95)), 2)</f>
        <v/>
      </c>
      <c r="G24" s="5">
        <f>ROUND(G7*(0.35*Assumptions!$C$17 + 0.65*(Assumptions!$C$19*2.95)), 2)</f>
        <v/>
      </c>
      <c r="H24" s="5">
        <f>ROUND(H7*(0.35*Assumptions!$C$17 + 0.65*(Assumptions!$C$19*2.95)), 2)</f>
        <v/>
      </c>
      <c r="I24" s="5">
        <f>ROUND(I7*(0.35*Assumptions!$C$17 + 0.65*(Assumptions!$C$19*2.95)), 2)</f>
        <v/>
      </c>
      <c r="J24" s="5">
        <f>ROUND(J7*(0.35*Assumptions!$C$17 + 0.65*(Assumptions!$C$19*2.95)), 2)</f>
        <v/>
      </c>
      <c r="K24" s="5">
        <f>ROUND(K7*(0.35*Assumptions!$C$17 + 0.65*(Assumptions!$C$19*2.95)), 2)</f>
        <v/>
      </c>
      <c r="L24" s="5">
        <f>ROUND(L7*(0.35*Assumptions!$C$17 + 0.65*(Assumptions!$C$19*2.95)), 2)</f>
        <v/>
      </c>
      <c r="M24" s="5">
        <f>ROUND(M7*(0.35*Assumptions!$C$17 + 0.65*(Assumptions!$C$19*2.95)), 2)</f>
        <v/>
      </c>
      <c r="N24" s="5">
        <f>ROUND(N7*(0.35*Assumptions!$C$17 + 0.65*(Assumptions!$C$19*2.95)), 2)</f>
        <v/>
      </c>
      <c r="O24" s="5">
        <f>ROUND(O7*(0.35*Assumptions!$C$17 + 0.65*(Assumptions!$C$19*2.95)), 2)</f>
        <v/>
      </c>
      <c r="P24" s="5">
        <f>ROUND(P7*(0.35*Assumptions!$C$17 + 0.65*(Assumptions!$C$19*2.95)), 2)</f>
        <v/>
      </c>
      <c r="Q24" s="5">
        <f>ROUND(Q7*(0.35*Assumptions!$C$17 + 0.65*(Assumptions!$C$19*2.95)), 2)</f>
        <v/>
      </c>
      <c r="R24" s="5">
        <f>ROUND(R7*(0.35*Assumptions!$C$17 + 0.65*(Assumptions!$C$19*2.95)), 2)</f>
        <v/>
      </c>
      <c r="S24" s="5">
        <f>ROUND(S7*(0.35*Assumptions!$C$17 + 0.65*(Assumptions!$C$19*2.95)), 2)</f>
        <v/>
      </c>
      <c r="T24" s="5">
        <f>ROUND(T7*(0.35*Assumptions!$C$17 + 0.65*(Assumptions!$C$19*2.95)), 2)</f>
        <v/>
      </c>
      <c r="U24" s="5">
        <f>ROUND(U7*(0.35*Assumptions!$C$17 + 0.65*(Assumptions!$C$19*2.95)), 2)</f>
        <v/>
      </c>
      <c r="V24" s="5">
        <f>ROUND(V7*(0.35*Assumptions!$C$17 + 0.65*(Assumptions!$C$19*2.95)), 2)</f>
        <v/>
      </c>
      <c r="W24" s="5">
        <f>ROUND(W7*(0.35*Assumptions!$C$17 + 0.65*(Assumptions!$C$19*2.95)), 2)</f>
        <v/>
      </c>
      <c r="X24" s="5">
        <f>ROUND(X7*(0.35*Assumptions!$C$17 + 0.65*(Assumptions!$C$19*2.95)), 2)</f>
        <v/>
      </c>
      <c r="Y24" s="5">
        <f>ROUND(Y7*(0.35*Assumptions!$C$17 + 0.65*(Assumptions!$C$19*2.95)), 2)</f>
        <v/>
      </c>
    </row>
    <row r="25">
      <c r="A25" s="6" t="inlineStr">
        <is>
          <t>Monthly Direct COGS Saved by entire-graph + Neatlogs</t>
        </is>
      </c>
      <c r="B25" s="8">
        <f>B24-B12</f>
        <v/>
      </c>
      <c r="C25" s="8">
        <f>C24-C12</f>
        <v/>
      </c>
      <c r="D25" s="8">
        <f>D24-D12</f>
        <v/>
      </c>
      <c r="E25" s="8">
        <f>E24-E12</f>
        <v/>
      </c>
      <c r="F25" s="8">
        <f>F24-F12</f>
        <v/>
      </c>
      <c r="G25" s="8">
        <f>G24-G12</f>
        <v/>
      </c>
      <c r="H25" s="8">
        <f>H24-H12</f>
        <v/>
      </c>
      <c r="I25" s="8">
        <f>I24-I12</f>
        <v/>
      </c>
      <c r="J25" s="8">
        <f>J24-J12</f>
        <v/>
      </c>
      <c r="K25" s="8">
        <f>K24-K12</f>
        <v/>
      </c>
      <c r="L25" s="8">
        <f>L24-L12</f>
        <v/>
      </c>
      <c r="M25" s="8">
        <f>M24-M12</f>
        <v/>
      </c>
      <c r="N25" s="8">
        <f>N24-N12</f>
        <v/>
      </c>
      <c r="O25" s="8">
        <f>O24-O12</f>
        <v/>
      </c>
      <c r="P25" s="8">
        <f>P24-P12</f>
        <v/>
      </c>
      <c r="Q25" s="8">
        <f>Q24-Q12</f>
        <v/>
      </c>
      <c r="R25" s="8">
        <f>R24-R12</f>
        <v/>
      </c>
      <c r="S25" s="8">
        <f>S24-S12</f>
        <v/>
      </c>
      <c r="T25" s="8">
        <f>T24-T12</f>
        <v/>
      </c>
      <c r="U25" s="8">
        <f>U24-U12</f>
        <v/>
      </c>
      <c r="V25" s="8">
        <f>V24-V12</f>
        <v/>
      </c>
      <c r="W25" s="8">
        <f>W24-W12</f>
        <v/>
      </c>
      <c r="X25" s="8">
        <f>X24-X12</f>
        <v/>
      </c>
      <c r="Y25" s="8">
        <f>Y24-Y12</f>
        <v/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0" customWidth="1" min="3" max="3"/>
    <col width="14" customWidth="1" min="4" max="4"/>
    <col width="26" customWidth="1" min="5" max="5"/>
    <col width="18" customWidth="1" min="6" max="6"/>
    <col width="20" customWidth="1" min="7" max="7"/>
    <col width="14" customWidth="1" min="8" max="8"/>
    <col width="19" customWidth="1" min="9" max="9"/>
  </cols>
  <sheetData>
    <row r="1">
      <c r="A1" s="1" t="inlineStr">
        <is>
          <t>VeriFix — 4-Quarter Multi-Scenario Financial Comparison (Main vs. Growth vs. Downside)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</t>
        </is>
      </c>
      <c r="B2" s="2" t="inlineStr">
        <is>
          <t>Quarter</t>
        </is>
      </c>
      <c r="C2" s="2" t="inlineStr">
        <is>
          <t>Active Customers</t>
        </is>
      </c>
      <c r="D2" s="2" t="inlineStr">
        <is>
          <t>Total Runs</t>
        </is>
      </c>
      <c r="E2" s="2" t="inlineStr">
        <is>
          <t>Recognized Revenue ($)</t>
        </is>
      </c>
      <c r="F2" s="2" t="inlineStr">
        <is>
          <t>Total COGS ($)</t>
        </is>
      </c>
      <c r="G2" s="2" t="inlineStr">
        <is>
          <t>Gross Margin (%)</t>
        </is>
      </c>
      <c r="H2" s="2" t="inlineStr">
        <is>
          <t>EBITDA ($)</t>
        </is>
      </c>
      <c r="I2" s="2" t="inlineStr">
        <is>
          <t>Ending Cash ($)</t>
        </is>
      </c>
    </row>
    <row r="3">
      <c r="A3" s="5" t="inlineStr">
        <is>
          <t>Main (Graph-Optimized Base Plan)</t>
        </is>
      </c>
      <c r="B3" s="5" t="inlineStr">
        <is>
          <t>Q1 (Oct–Dec 2026)</t>
        </is>
      </c>
      <c r="C3" s="4" t="n">
        <v>18</v>
      </c>
      <c r="D3" s="4" t="n">
        <v>14550</v>
      </c>
      <c r="E3" s="5" t="n">
        <v>20728.5</v>
      </c>
      <c r="F3" s="5" t="n">
        <v>2214.62</v>
      </c>
      <c r="G3" s="24">
        <f>(E3-F3)/E3</f>
        <v/>
      </c>
      <c r="H3" s="5" t="n">
        <v>2013.88</v>
      </c>
      <c r="I3" s="5" t="n">
        <v>27013.88</v>
      </c>
    </row>
    <row r="4">
      <c r="A4" s="5" t="inlineStr">
        <is>
          <t>Main (Graph-Optimized Base Plan)</t>
        </is>
      </c>
      <c r="B4" s="5" t="inlineStr">
        <is>
          <t>Q2 (Jan–Mar 2027)</t>
        </is>
      </c>
      <c r="C4" s="4" t="n">
        <v>46</v>
      </c>
      <c r="D4" s="4" t="n">
        <v>40956</v>
      </c>
      <c r="E4" s="5" t="n">
        <v>57606</v>
      </c>
      <c r="F4" s="5" t="n">
        <v>6643.75</v>
      </c>
      <c r="G4" s="24">
        <f>(E4-F4)/E4</f>
        <v/>
      </c>
      <c r="H4" s="5" t="n">
        <v>22462.25</v>
      </c>
      <c r="I4" s="5" t="n">
        <v>49476.13</v>
      </c>
    </row>
    <row r="5">
      <c r="A5" s="5" t="inlineStr">
        <is>
          <t>Main (Graph-Optimized Base Plan)</t>
        </is>
      </c>
      <c r="B5" s="5" t="inlineStr">
        <is>
          <t>Q3 (Apr–Jun 2027)</t>
        </is>
      </c>
      <c r="C5" s="4" t="n">
        <v>88</v>
      </c>
      <c r="D5" s="4" t="n">
        <v>80565</v>
      </c>
      <c r="E5" s="5" t="n">
        <v>112922.25</v>
      </c>
      <c r="F5" s="5" t="n">
        <v>10587.45</v>
      </c>
      <c r="G5" s="24">
        <f>(E5-F5)/E5</f>
        <v/>
      </c>
      <c r="H5" s="5" t="n">
        <v>54334.8</v>
      </c>
      <c r="I5" s="5" t="n">
        <v>103810.93</v>
      </c>
    </row>
    <row r="6">
      <c r="A6" s="5" t="inlineStr">
        <is>
          <t>Main (Graph-Optimized Base Plan)</t>
        </is>
      </c>
      <c r="B6" s="5" t="inlineStr">
        <is>
          <t>Q4 (Jul–Sep 2027)</t>
        </is>
      </c>
      <c r="C6" s="4" t="n">
        <v>145</v>
      </c>
      <c r="D6" s="4" t="n">
        <v>137958</v>
      </c>
      <c r="E6" s="5" t="n">
        <v>192462</v>
      </c>
      <c r="F6" s="5" t="n">
        <v>16277.93</v>
      </c>
      <c r="G6" s="24">
        <f>(E6-F6)/E6</f>
        <v/>
      </c>
      <c r="H6" s="5" t="n">
        <v>104184.07</v>
      </c>
      <c r="I6" s="5" t="n">
        <v>207995</v>
      </c>
    </row>
    <row r="7">
      <c r="A7" s="5" t="inlineStr">
        <is>
          <t>Growth (Ecosystem Attach Upside)</t>
        </is>
      </c>
      <c r="B7" s="5" t="inlineStr">
        <is>
          <t>Q1 (Oct–Dec 2026)</t>
        </is>
      </c>
      <c r="C7" s="4" t="n">
        <v>29</v>
      </c>
      <c r="D7" s="4" t="n">
        <v>22824</v>
      </c>
      <c r="E7" s="5" t="n">
        <v>32716.5</v>
      </c>
      <c r="F7" s="5" t="n">
        <v>2900.1</v>
      </c>
      <c r="G7" s="24">
        <f>(E7-F7)/E7</f>
        <v/>
      </c>
      <c r="H7" s="5" t="n">
        <v>10841.4</v>
      </c>
      <c r="I7" s="5" t="n">
        <v>35841.4</v>
      </c>
    </row>
    <row r="8">
      <c r="A8" s="5" t="inlineStr">
        <is>
          <t>Growth (Ecosystem Attach Upside)</t>
        </is>
      </c>
      <c r="B8" s="5" t="inlineStr">
        <is>
          <t>Q2 (Jan–Mar 2027)</t>
        </is>
      </c>
      <c r="C8" s="4" t="n">
        <v>76</v>
      </c>
      <c r="D8" s="4" t="n">
        <v>67710</v>
      </c>
      <c r="E8" s="5" t="n">
        <v>95149.5</v>
      </c>
      <c r="F8" s="5" t="n">
        <v>8854.120000000001</v>
      </c>
      <c r="G8" s="24">
        <f>(E8-F8)/E8</f>
        <v/>
      </c>
      <c r="H8" s="5" t="n">
        <v>53520.38</v>
      </c>
      <c r="I8" s="5" t="n">
        <v>89361.78</v>
      </c>
    </row>
    <row r="9">
      <c r="A9" s="5" t="inlineStr">
        <is>
          <t>Growth (Ecosystem Attach Upside)</t>
        </is>
      </c>
      <c r="B9" s="5" t="inlineStr">
        <is>
          <t>Q3 (Apr–Jun 2027)</t>
        </is>
      </c>
      <c r="C9" s="4" t="n">
        <v>145</v>
      </c>
      <c r="D9" s="4" t="n">
        <v>133551</v>
      </c>
      <c r="E9" s="5" t="n">
        <v>187010.25</v>
      </c>
      <c r="F9" s="5" t="n">
        <v>14958.4</v>
      </c>
      <c r="G9" s="24">
        <f>(E9-F9)/E9</f>
        <v/>
      </c>
      <c r="H9" s="5" t="n">
        <v>116851.85</v>
      </c>
      <c r="I9" s="5" t="n">
        <v>206213.63</v>
      </c>
    </row>
    <row r="10">
      <c r="A10" s="5" t="inlineStr">
        <is>
          <t>Growth (Ecosystem Attach Upside)</t>
        </is>
      </c>
      <c r="B10" s="5" t="inlineStr">
        <is>
          <t>Q4 (Jul–Sep 2027)</t>
        </is>
      </c>
      <c r="C10" s="4" t="n">
        <v>240</v>
      </c>
      <c r="D10" s="4" t="n">
        <v>229206</v>
      </c>
      <c r="E10" s="5" t="n">
        <v>319576.5</v>
      </c>
      <c r="F10" s="5" t="n">
        <v>23792.07</v>
      </c>
      <c r="G10" s="24">
        <f>(E10-F10)/E10</f>
        <v/>
      </c>
      <c r="H10" s="5" t="n">
        <v>212984.43</v>
      </c>
      <c r="I10" s="5" t="n">
        <v>419198.06</v>
      </c>
    </row>
    <row r="11">
      <c r="A11" s="5" t="inlineStr">
        <is>
          <t>Downside (Unoptimized Grep + High Retry Burn)</t>
        </is>
      </c>
      <c r="B11" s="5" t="inlineStr">
        <is>
          <t>Q1 (Oct–Dec 2026)</t>
        </is>
      </c>
      <c r="C11" s="4" t="n">
        <v>14</v>
      </c>
      <c r="D11" s="4" t="n">
        <v>26359</v>
      </c>
      <c r="E11" s="5" t="n">
        <v>17481</v>
      </c>
      <c r="F11" s="5" t="n">
        <v>50528.03</v>
      </c>
      <c r="G11" s="24">
        <f>(E11-F11)/E11</f>
        <v/>
      </c>
      <c r="H11" s="5" t="n">
        <v>-49547.03</v>
      </c>
      <c r="I11" s="5" t="n">
        <v>-24547.03</v>
      </c>
    </row>
    <row r="12">
      <c r="A12" s="5" t="inlineStr">
        <is>
          <t>Downside (Unoptimized Grep + High Retry Burn)</t>
        </is>
      </c>
      <c r="B12" s="5" t="inlineStr">
        <is>
          <t>Q2 (Jan–Mar 2027)</t>
        </is>
      </c>
      <c r="C12" s="4" t="n">
        <v>34</v>
      </c>
      <c r="D12" s="4" t="n">
        <v>60379</v>
      </c>
      <c r="E12" s="5" t="n">
        <v>40791</v>
      </c>
      <c r="F12" s="5" t="n">
        <v>116602.78</v>
      </c>
      <c r="G12" s="24">
        <f>(E12-F12)/E12</f>
        <v/>
      </c>
      <c r="H12" s="5" t="n">
        <v>-104311.78</v>
      </c>
      <c r="I12" s="5" t="n">
        <v>-128858.81</v>
      </c>
    </row>
    <row r="13">
      <c r="A13" s="5" t="inlineStr">
        <is>
          <t>Downside (Unoptimized Grep + High Retry Burn)</t>
        </is>
      </c>
      <c r="B13" s="5" t="inlineStr">
        <is>
          <t>Q3 (Apr–Jun 2027)</t>
        </is>
      </c>
      <c r="C13" s="4" t="n">
        <v>66</v>
      </c>
      <c r="D13" s="4" t="n">
        <v>126548</v>
      </c>
      <c r="E13" s="5" t="n">
        <v>84452.25</v>
      </c>
      <c r="F13" s="5" t="n">
        <v>241551.94</v>
      </c>
      <c r="G13" s="24">
        <f>(E13-F13)/E13</f>
        <v/>
      </c>
      <c r="H13" s="5" t="n">
        <v>-205099.69</v>
      </c>
      <c r="I13" s="5" t="n">
        <v>-333958.5</v>
      </c>
    </row>
    <row r="14">
      <c r="A14" s="5" t="inlineStr">
        <is>
          <t>Downside (Unoptimized Grep + High Retry Burn)</t>
        </is>
      </c>
      <c r="B14" s="5" t="inlineStr">
        <is>
          <t>Q4 (Jul–Sep 2027)</t>
        </is>
      </c>
      <c r="C14" s="4" t="n">
        <v>109</v>
      </c>
      <c r="D14" s="4" t="n">
        <v>219347</v>
      </c>
      <c r="E14" s="5" t="n">
        <v>145553.25</v>
      </c>
      <c r="F14" s="5" t="n">
        <v>416782.3</v>
      </c>
      <c r="G14" s="24">
        <f>(E14-F14)/E14</f>
        <v/>
      </c>
      <c r="H14" s="5" t="n">
        <v>-343229.05</v>
      </c>
      <c r="I14" s="5" t="n">
        <v>-677187.55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2026-10-10T18:03:44Z</dcterms:created>
  <dcterms:modified xmlns:dcterms="http://purl.org/dc/terms/" xmlns:xsi="http://www.w3.org/2001/XMLSchema-instance" xsi:type="dcterms:W3CDTF">2026-10-10T18:03:44Z</dcterms:modified>
</cp:coreProperties>
</file>